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סקירה" sheetId="1" state="visible" r:id="rId1"/>
    <sheet xmlns:r="http://schemas.openxmlformats.org/officeDocument/2006/relationships" name="תוכן המצגת" sheetId="2" state="visible" r:id="rId2"/>
    <sheet xmlns:r="http://schemas.openxmlformats.org/officeDocument/2006/relationships" name="מושגים" sheetId="3" state="visible" r:id="rId3"/>
    <sheet xmlns:r="http://schemas.openxmlformats.org/officeDocument/2006/relationships" name="מצבי הזנה" sheetId="4" state="visible" r:id="rId4"/>
    <sheet xmlns:r="http://schemas.openxmlformats.org/officeDocument/2006/relationships" name="קיצורי מקלדת" sheetId="5" state="visible" r:id="rId5"/>
    <sheet xmlns:r="http://schemas.openxmlformats.org/officeDocument/2006/relationships" name="נוסחאות חיות" sheetId="6" state="visible" r:id="rId6"/>
    <sheet xmlns:r="http://schemas.openxmlformats.org/officeDocument/2006/relationships" name="שאלות ופתרונות" sheetId="7" state="visible" r:id="rId7"/>
  </sheets>
  <definedNames>
    <definedName name="_xlnm.Print_Titles" localSheetId="1">'תוכן המצגת'!$4:$4</definedName>
    <definedName name="_xlnm.Print_Titles" localSheetId="2">'מושגים'!$4:$4</definedName>
    <definedName name="_xlnm.Print_Titles" localSheetId="3">'מצבי הזנה'!$4:$4</definedName>
    <definedName name="_xlnm.Print_Titles" localSheetId="4">'קיצורי מקלדת'!$4:$4</definedName>
  </definedNames>
  <calcPr calcId="124519" fullCalcOnLoad="1"/>
</workbook>
</file>

<file path=xl/styles.xml><?xml version="1.0" encoding="utf-8"?>
<styleSheet xmlns="http://schemas.openxmlformats.org/spreadsheetml/2006/main">
  <numFmts count="1">
    <numFmt numFmtId="164" formatCode="#,##0.##"/>
  </numFmts>
  <fonts count="22">
    <font>
      <name val="Calibri"/>
      <family val="2"/>
      <color theme="1"/>
      <sz val="11"/>
      <scheme val="minor"/>
    </font>
    <font>
      <name val="Arial"/>
      <b val="1"/>
      <color rgb="00FFFFFF"/>
      <sz val="18"/>
    </font>
    <font>
      <name val="Arial"/>
      <color rgb="005D6A86"/>
      <sz val="11"/>
    </font>
    <font>
      <name val="Arial"/>
      <b val="1"/>
      <color rgb="001B2D55"/>
      <sz val="12"/>
    </font>
    <font>
      <name val="Arial"/>
      <sz val="12"/>
    </font>
    <font>
      <name val="Arial"/>
      <b val="1"/>
      <color rgb="001B2D55"/>
      <sz val="14"/>
    </font>
    <font>
      <name val="Arial"/>
      <b val="1"/>
      <color rgb="00FFFFFF"/>
      <sz val="11"/>
    </font>
    <font>
      <name val="Arial"/>
      <b val="1"/>
      <color rgb="000563C1"/>
      <sz val="12"/>
      <u val="single"/>
    </font>
    <font>
      <name val="Arial"/>
      <b val="1"/>
      <sz val="12"/>
    </font>
    <font>
      <name val="Arial"/>
      <b val="1"/>
      <color rgb="001B2D55"/>
      <sz val="11"/>
    </font>
    <font>
      <name val="Consolas"/>
      <b val="1"/>
      <color rgb="001B2D55"/>
      <sz val="11"/>
    </font>
    <font>
      <name val="Arial"/>
      <b val="1"/>
      <sz val="11"/>
    </font>
    <font>
      <name val="Arial"/>
      <sz val="11"/>
    </font>
    <font>
      <name val="Arial"/>
      <b val="1"/>
      <color rgb="00107C41"/>
      <sz val="11"/>
    </font>
    <font>
      <name val="Arial"/>
      <color rgb="003A4766"/>
      <sz val="11"/>
    </font>
    <font>
      <name val="Consolas"/>
      <color rgb="003A4766"/>
      <sz val="11"/>
    </font>
    <font>
      <name val="Arial"/>
      <b val="1"/>
      <color rgb="00FFFFFF"/>
      <sz val="13"/>
    </font>
    <font>
      <name val="Arial"/>
      <color rgb="00000000"/>
      <sz val="11"/>
    </font>
    <font>
      <name val="Arial"/>
      <b val="1"/>
      <color rgb="00B3262F"/>
      <sz val="11"/>
    </font>
    <font>
      <name val="Arial"/>
      <b val="1"/>
      <color rgb="008A5A00"/>
      <sz val="11"/>
    </font>
    <font>
      <name val="Arial"/>
      <b val="1"/>
      <color rgb="00087469"/>
      <sz val="11"/>
    </font>
    <font>
      <name val="Arial"/>
      <color rgb="00666666"/>
      <sz val="10"/>
    </font>
  </fonts>
  <fills count="19">
    <fill>
      <patternFill/>
    </fill>
    <fill>
      <patternFill patternType="gray125"/>
    </fill>
    <fill>
      <patternFill patternType="solid">
        <fgColor rgb="001B2D55"/>
      </patternFill>
    </fill>
    <fill>
      <patternFill patternType="solid">
        <fgColor rgb="00F6F2EA"/>
      </patternFill>
    </fill>
    <fill>
      <patternFill patternType="solid">
        <fgColor rgb="00E8EEFB"/>
      </patternFill>
    </fill>
    <fill>
      <patternFill patternType="solid">
        <fgColor rgb="00FF6A4D"/>
      </patternFill>
    </fill>
    <fill>
      <patternFill patternType="solid">
        <fgColor rgb="00FAF7F1"/>
      </patternFill>
    </fill>
    <fill>
      <patternFill patternType="solid">
        <fgColor rgb="00DCE8FF"/>
      </patternFill>
    </fill>
    <fill>
      <patternFill patternType="solid">
        <fgColor rgb="00DDF3E4"/>
      </patternFill>
    </fill>
    <fill>
      <patternFill patternType="solid">
        <fgColor rgb="00F1ECE0"/>
      </patternFill>
    </fill>
    <fill>
      <patternFill patternType="solid">
        <fgColor rgb="00D4EFDC"/>
      </patternFill>
    </fill>
    <fill>
      <patternFill patternType="solid">
        <fgColor rgb="00EAF7EE"/>
      </patternFill>
    </fill>
    <fill>
      <patternFill patternType="solid">
        <fgColor rgb="00FFF7E0"/>
      </patternFill>
    </fill>
    <fill>
      <patternFill patternType="solid">
        <fgColor rgb="00FFFBEF"/>
      </patternFill>
    </fill>
    <fill>
      <patternFill patternType="solid">
        <fgColor rgb="00E7F6F3"/>
      </patternFill>
    </fill>
    <fill>
      <patternFill patternType="solid">
        <fgColor rgb="00F3FBF9"/>
      </patternFill>
    </fill>
    <fill>
      <patternFill patternType="solid">
        <fgColor rgb="00E6E6E6"/>
      </patternFill>
    </fill>
    <fill>
      <patternFill patternType="solid">
        <fgColor rgb="00E9F2EC"/>
      </patternFill>
    </fill>
    <fill>
      <patternFill patternType="solid">
        <fgColor rgb="00FFF2A8"/>
      </patternFill>
    </fill>
  </fills>
  <borders count="2">
    <border>
      <left/>
      <right/>
      <top/>
      <bottom/>
      <diagonal/>
    </border>
    <border>
      <left style="thin">
        <color rgb="00D9D2C3"/>
      </left>
      <right style="thin">
        <color rgb="00D9D2C3"/>
      </right>
      <top style="thin">
        <color rgb="00D9D2C3"/>
      </top>
      <bottom style="thin">
        <color rgb="00D9D2C3"/>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right" vertical="center" indent="1" readingOrder="2"/>
    </xf>
    <xf numFmtId="0" fontId="2" fillId="3" borderId="0" applyAlignment="1" pivotButton="0" quotePrefix="0" xfId="0">
      <alignment horizontal="right" vertical="center" indent="1" readingOrder="2"/>
    </xf>
    <xf numFmtId="0" fontId="3" fillId="4" borderId="1" applyAlignment="1" pivotButton="0" quotePrefix="0" xfId="0">
      <alignment horizontal="right" vertical="top" wrapText="1" readingOrder="2"/>
    </xf>
    <xf numFmtId="0" fontId="4" fillId="0" borderId="1" applyAlignment="1" pivotButton="0" quotePrefix="0" xfId="0">
      <alignment horizontal="right" vertical="top" wrapText="1" readingOrder="2"/>
    </xf>
    <xf numFmtId="0" fontId="5" fillId="0" borderId="0" pivotButton="0" quotePrefix="0" xfId="0"/>
    <xf numFmtId="0" fontId="6" fillId="5" borderId="1" applyAlignment="1" pivotButton="0" quotePrefix="0" xfId="0">
      <alignment horizontal="center" vertical="center" wrapText="1" readingOrder="2"/>
    </xf>
    <xf numFmtId="0" fontId="7" fillId="0" borderId="1" applyAlignment="1" pivotButton="0" quotePrefix="0" xfId="0">
      <alignment horizontal="right" vertical="top" wrapText="1" readingOrder="2"/>
    </xf>
    <xf numFmtId="0" fontId="2" fillId="0" borderId="1" applyAlignment="1" pivotButton="0" quotePrefix="0" xfId="0">
      <alignment horizontal="center" vertical="center" wrapText="1" readingOrder="2"/>
    </xf>
    <xf numFmtId="0" fontId="9" fillId="0" borderId="1" applyAlignment="1" pivotButton="0" quotePrefix="0" xfId="0">
      <alignment horizontal="right" vertical="top" wrapText="1" readingOrder="2"/>
    </xf>
    <xf numFmtId="0" fontId="2" fillId="6" borderId="1" applyAlignment="1" pivotButton="0" quotePrefix="0" xfId="0">
      <alignment horizontal="center" vertical="center" wrapText="1" readingOrder="2"/>
    </xf>
    <xf numFmtId="0" fontId="4" fillId="6" borderId="1" applyAlignment="1" pivotButton="0" quotePrefix="0" xfId="0">
      <alignment horizontal="right" vertical="top" wrapText="1" readingOrder="2"/>
    </xf>
    <xf numFmtId="0" fontId="9" fillId="6" borderId="1" applyAlignment="1" pivotButton="0" quotePrefix="0" xfId="0">
      <alignment horizontal="right" vertical="top" wrapText="1" readingOrder="2"/>
    </xf>
    <xf numFmtId="0" fontId="8" fillId="0" borderId="1" applyAlignment="1" pivotButton="0" quotePrefix="0" xfId="0">
      <alignment horizontal="right" vertical="top" wrapText="1" readingOrder="2"/>
    </xf>
    <xf numFmtId="0" fontId="8" fillId="6"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0" fillId="6" borderId="1" applyAlignment="1" pivotButton="0" quotePrefix="0" xfId="0">
      <alignment horizontal="center" vertical="center" wrapText="1" readingOrder="2"/>
    </xf>
    <xf numFmtId="0" fontId="11" fillId="0" borderId="0" applyAlignment="1" pivotButton="0" quotePrefix="0" xfId="0">
      <alignment horizontal="center" vertical="center" wrapText="1" readingOrder="2"/>
    </xf>
    <xf numFmtId="0" fontId="12" fillId="7" borderId="1" applyAlignment="1" pivotButton="0" quotePrefix="0" xfId="0">
      <alignment horizontal="center" vertical="center" wrapText="1" readingOrder="2"/>
    </xf>
    <xf numFmtId="0" fontId="13" fillId="8" borderId="1" applyAlignment="1" pivotButton="0" quotePrefix="0" xfId="0">
      <alignment horizontal="center" vertical="center" wrapText="1" readingOrder="2"/>
    </xf>
    <xf numFmtId="0" fontId="5" fillId="0" borderId="0" applyAlignment="1" pivotButton="0" quotePrefix="0" xfId="0">
      <alignment horizontal="right" readingOrder="2"/>
    </xf>
    <xf numFmtId="0" fontId="14" fillId="0" borderId="0" applyAlignment="1" pivotButton="0" quotePrefix="0" xfId="0">
      <alignment horizontal="right" vertical="top" wrapText="1" readingOrder="2"/>
    </xf>
    <xf numFmtId="0" fontId="6" fillId="2" borderId="1" applyAlignment="1" pivotButton="0" quotePrefix="0" xfId="0">
      <alignment horizontal="center" vertical="center" wrapText="1" readingOrder="2"/>
    </xf>
    <xf numFmtId="0" fontId="12" fillId="0" borderId="1" applyAlignment="1" pivotButton="0" quotePrefix="0" xfId="0">
      <alignment horizontal="center" vertical="center" wrapText="1" readingOrder="2"/>
    </xf>
    <xf numFmtId="164" fontId="12" fillId="7" borderId="1" applyAlignment="1" pivotButton="0" quotePrefix="0" xfId="0">
      <alignment horizontal="center" vertical="center" wrapText="1" readingOrder="2"/>
    </xf>
    <xf numFmtId="4" fontId="13" fillId="8" borderId="1" applyAlignment="1" pivotButton="0" quotePrefix="0" xfId="0">
      <alignment horizontal="center" vertical="center" wrapText="1" readingOrder="2"/>
    </xf>
    <xf numFmtId="0" fontId="15" fillId="0" borderId="1" applyAlignment="1" pivotButton="0" quotePrefix="1" xfId="0">
      <alignment horizontal="left" vertical="center" readingOrder="1"/>
    </xf>
    <xf numFmtId="9" fontId="12" fillId="7" borderId="1" applyAlignment="1" pivotButton="0" quotePrefix="0" xfId="0">
      <alignment horizontal="center" vertical="center" wrapText="1" readingOrder="2"/>
    </xf>
    <xf numFmtId="0" fontId="16" fillId="2" borderId="0" applyAlignment="1" pivotButton="0" quotePrefix="0" xfId="0">
      <alignment horizontal="right" vertical="center" indent="1" readingOrder="2"/>
    </xf>
    <xf numFmtId="0" fontId="9" fillId="4" borderId="1" applyAlignment="1" pivotButton="0" quotePrefix="0" xfId="0">
      <alignment horizontal="center" vertical="center" wrapText="1" readingOrder="2"/>
    </xf>
    <xf numFmtId="0" fontId="0" fillId="0" borderId="1" pivotButton="0" quotePrefix="0" xfId="0"/>
    <xf numFmtId="0" fontId="9" fillId="9" borderId="1" applyAlignment="1" pivotButton="0" quotePrefix="0" xfId="0">
      <alignment horizontal="center" vertical="center" wrapText="1" readingOrder="2"/>
    </xf>
    <xf numFmtId="0" fontId="11" fillId="0" borderId="1" applyAlignment="1" pivotButton="0" quotePrefix="0" xfId="0">
      <alignment horizontal="right" vertical="top" wrapText="1" readingOrder="2"/>
    </xf>
    <xf numFmtId="0" fontId="17" fillId="0" borderId="1" applyAlignment="1" pivotButton="0" quotePrefix="0" xfId="0">
      <alignment horizontal="right" vertical="top" wrapText="1" readingOrder="2"/>
    </xf>
    <xf numFmtId="0" fontId="13" fillId="10" borderId="1" applyAlignment="1" pivotButton="0" quotePrefix="0" xfId="0">
      <alignment horizontal="center" vertical="center" wrapText="1" readingOrder="2"/>
    </xf>
    <xf numFmtId="0" fontId="13" fillId="11" borderId="1" applyAlignment="1" pivotButton="0" quotePrefix="0" xfId="0">
      <alignment horizontal="right" vertical="top" wrapText="1" readingOrder="2"/>
    </xf>
    <xf numFmtId="0" fontId="0" fillId="11" borderId="1" pivotButton="0" quotePrefix="0" xfId="0"/>
    <xf numFmtId="0" fontId="9" fillId="3" borderId="1" applyAlignment="1" pivotButton="0" quotePrefix="0" xfId="0">
      <alignment horizontal="center" vertical="center" wrapText="1" readingOrder="2"/>
    </xf>
    <xf numFmtId="0" fontId="13" fillId="0" borderId="1" applyAlignment="1" pivotButton="0" quotePrefix="0" xfId="0">
      <alignment horizontal="center" vertical="center" wrapText="1" readingOrder="2"/>
    </xf>
    <xf numFmtId="0" fontId="18" fillId="0" borderId="1" applyAlignment="1" pivotButton="0" quotePrefix="0" xfId="0">
      <alignment horizontal="center" vertical="center" wrapText="1" readingOrder="2"/>
    </xf>
    <xf numFmtId="0" fontId="19" fillId="12" borderId="1" applyAlignment="1" pivotButton="0" quotePrefix="0" xfId="0">
      <alignment horizontal="center" vertical="center" wrapText="1" readingOrder="2"/>
    </xf>
    <xf numFmtId="0" fontId="4" fillId="13" borderId="1" applyAlignment="1" pivotButton="0" quotePrefix="0" xfId="0">
      <alignment horizontal="right" vertical="top" wrapText="1" readingOrder="2"/>
    </xf>
    <xf numFmtId="0" fontId="0" fillId="13" borderId="1" pivotButton="0" quotePrefix="0" xfId="0"/>
    <xf numFmtId="0" fontId="20" fillId="14" borderId="1" applyAlignment="1" pivotButton="0" quotePrefix="0" xfId="0">
      <alignment horizontal="center" vertical="center" wrapText="1" readingOrder="2"/>
    </xf>
    <xf numFmtId="0" fontId="4" fillId="15" borderId="1" applyAlignment="1" pivotButton="0" quotePrefix="0" xfId="0">
      <alignment horizontal="right" vertical="top" wrapText="1" readingOrder="2"/>
    </xf>
    <xf numFmtId="0" fontId="0" fillId="15" borderId="1" pivotButton="0" quotePrefix="0" xfId="0"/>
    <xf numFmtId="0" fontId="21" fillId="16" borderId="1" applyAlignment="1" pivotButton="0" quotePrefix="0" xfId="0">
      <alignment horizontal="center" vertical="center" wrapText="1" readingOrder="2"/>
    </xf>
    <xf numFmtId="0" fontId="11" fillId="17" borderId="1" applyAlignment="1" pivotButton="0" quotePrefix="0" xfId="0">
      <alignment horizontal="center" vertical="center" wrapText="1" readingOrder="2"/>
    </xf>
    <xf numFmtId="0" fontId="12" fillId="18"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514;&#1493;&#1499;&#1503; &#1492;&#1502;&#1510;&#1490;&#1514;'!A1" TargetMode="External" Id="rId1"/><Relationship Type="http://schemas.openxmlformats.org/officeDocument/2006/relationships/hyperlink" Target="#'&#1502;&#1493;&#1513;&#1490;&#1497;&#1501;'!A1" TargetMode="External" Id="rId2"/><Relationship Type="http://schemas.openxmlformats.org/officeDocument/2006/relationships/hyperlink" Target="#'&#1502;&#1510;&#1489;&#1497; &#1492;&#1494;&#1504;&#1492;'!A1" TargetMode="External" Id="rId3"/><Relationship Type="http://schemas.openxmlformats.org/officeDocument/2006/relationships/hyperlink" Target="#'&#1511;&#1497;&#1510;&#1493;&#1512;&#1497; &#1502;&#1511;&#1500;&#1491;&#1514;'!A1" TargetMode="External" Id="rId4"/><Relationship Type="http://schemas.openxmlformats.org/officeDocument/2006/relationships/hyperlink" Target="#'&#1504;&#1493;&#1505;&#1495;&#1488;&#1493;&#1514; &#1495;&#1497;&#1493;&#1514;'!A1" TargetMode="External" Id="rId5"/><Relationship Type="http://schemas.openxmlformats.org/officeDocument/2006/relationships/hyperlink" Target="#'&#1513;&#1488;&#1500;&#1493;&#1514; &#1493;&#1508;&#1514;&#1512;&#1493;&#1504;&#1493;&#1514;'!A1" TargetMode="External" Id="rId6"/></Relationships>
</file>

<file path=xl/worksheets/sheet1.xml><?xml version="1.0" encoding="utf-8"?>
<worksheet xmlns="http://schemas.openxmlformats.org/spreadsheetml/2006/main">
  <sheetPr>
    <tabColor rgb="00FF6A4D"/>
    <outlinePr summaryBelow="1" summaryRight="1"/>
    <pageSetUpPr fitToPage="1"/>
  </sheetPr>
  <dimension ref="A1:B19"/>
  <sheetViews>
    <sheetView showGridLines="0" rightToLeft="1" workbookViewId="0">
      <selection activeCell="A1" sqref="A1"/>
    </sheetView>
  </sheetViews>
  <sheetFormatPr baseColWidth="8" defaultRowHeight="15"/>
  <cols>
    <col width="26" customWidth="1" min="1" max="1"/>
    <col width="90" customWidth="1" min="2" max="2"/>
  </cols>
  <sheetData>
    <row r="1" ht="34" customHeight="1">
      <c r="A1" s="1" t="inlineStr">
        <is>
          <t>ניתוח מידע עסקי ממוחשב: מפגש 1</t>
        </is>
      </c>
    </row>
    <row r="2" ht="22" customHeight="1">
      <c r="A2" s="2" t="inlineStr">
        <is>
          <t>המרכז האקדמי פרס · סמסטר א׳ תשפ״ז · ד״ר שי צבאן</t>
        </is>
      </c>
    </row>
    <row r="4" ht="24" customHeight="1">
      <c r="A4" s="3" t="inlineStr">
        <is>
          <t>הקורס</t>
        </is>
      </c>
      <c r="B4" s="4" t="inlineStr">
        <is>
          <t>ניתוח מידע עסקי ממוחשב</t>
        </is>
      </c>
    </row>
    <row r="5" ht="24" customHeight="1">
      <c r="A5" s="3" t="inlineStr">
        <is>
          <t>מפגש</t>
        </is>
      </c>
      <c r="B5" s="4" t="inlineStr">
        <is>
          <t>1: Excel, נעים להכיר</t>
        </is>
      </c>
    </row>
    <row r="6" ht="24" customHeight="1">
      <c r="A6" s="3" t="inlineStr">
        <is>
          <t>תאריך</t>
        </is>
      </c>
      <c r="B6" s="4" t="inlineStr">
        <is>
          <t>25.10.2026</t>
        </is>
      </c>
    </row>
    <row r="7" ht="24" customHeight="1">
      <c r="A7" s="3" t="inlineStr">
        <is>
          <t>יחידות בסילה</t>
        </is>
      </c>
      <c r="B7" s="4" t="inlineStr">
        <is>
          <t>יחידות 1 ו-2</t>
        </is>
      </c>
    </row>
    <row r="8" ht="40" customHeight="1">
      <c r="A8" s="3" t="inlineStr">
        <is>
          <t>מה בקובץ</t>
        </is>
      </c>
      <c r="B8" s="4" t="inlineStr">
        <is>
          <t>כל תוכן המצגת האינטראקטיבית של המפגש, בפורמט נוח לקריאה, ועם נוסחאות חיות שאפשר לשנות ולראות מה קורה.</t>
        </is>
      </c>
    </row>
    <row r="9" ht="40" customHeight="1">
      <c r="A9" s="3" t="inlineStr">
        <is>
          <t>פריסה</t>
        </is>
      </c>
      <c r="B9" s="4" t="inlineStr">
        <is>
          <t>כל הגיליונות בפריסה עברית (מימין לשמאל): עמודה A בצד ימין, בדיוק כמו שעובדים בקורס.</t>
        </is>
      </c>
    </row>
    <row r="10" ht="24" customHeight="1">
      <c r="A10" s="3" t="inlineStr">
        <is>
          <t>טעויות הקלדה</t>
        </is>
      </c>
      <c r="B10" s="4" t="inlineStr">
        <is>
          <t>כשמשהו נראה לא נכון, כתבו למרצה: Shay.tsaban@gmail.com</t>
        </is>
      </c>
    </row>
    <row r="12">
      <c r="A12" s="5" t="inlineStr">
        <is>
          <t>הגיליונות בקובץ</t>
        </is>
      </c>
    </row>
    <row r="13" ht="24" customHeight="1">
      <c r="A13" s="6" t="inlineStr">
        <is>
          <t>הגיליון</t>
        </is>
      </c>
      <c r="B13" s="6" t="inlineStr">
        <is>
          <t>מה בו</t>
        </is>
      </c>
    </row>
    <row r="14" ht="24" customHeight="1">
      <c r="A14" s="7" t="inlineStr">
        <is>
          <t>תוכן המצגת</t>
        </is>
      </c>
      <c r="B14" s="4" t="inlineStr">
        <is>
          <t>כל שקף ונושא, לפי סדר המצגת</t>
        </is>
      </c>
    </row>
    <row r="15" ht="24" customHeight="1">
      <c r="A15" s="7" t="inlineStr">
        <is>
          <t>מושגים</t>
        </is>
      </c>
      <c r="B15" s="4" t="inlineStr">
        <is>
          <t>הגדרה פשוטה ודוגמה לכל מושג</t>
        </is>
      </c>
    </row>
    <row r="16" ht="24" customHeight="1">
      <c r="A16" s="7" t="inlineStr">
        <is>
          <t>מצבי הזנה</t>
        </is>
      </c>
      <c r="B16" s="4" t="inlineStr">
        <is>
          <t>Ready, Enter ו-Edit בטבלה אחת</t>
        </is>
      </c>
    </row>
    <row r="17" ht="24" customHeight="1">
      <c r="A17" s="7" t="inlineStr">
        <is>
          <t>קיצורי מקלדת</t>
        </is>
      </c>
      <c r="B17" s="4" t="inlineStr">
        <is>
          <t>כל הקיצורים שנלמדו</t>
        </is>
      </c>
    </row>
    <row r="18" ht="24" customHeight="1">
      <c r="A18" s="7" t="inlineStr">
        <is>
          <t>נוסחאות חיות</t>
        </is>
      </c>
      <c r="B18" s="4" t="inlineStr">
        <is>
          <t>הטבלאות מהמפגש עם נוסחאות אמיתיות. שנו נתון והתוצאה תתעדכן</t>
        </is>
      </c>
    </row>
    <row r="19" ht="24" customHeight="1">
      <c r="A19" s="7" t="inlineStr">
        <is>
          <t>שאלות ופתרונות</t>
        </is>
      </c>
      <c r="B19" s="4" t="inlineStr">
        <is>
          <t>18 השאלות האמריקאיות, עם התשובה והנימוק לכל טענה</t>
        </is>
      </c>
    </row>
  </sheetData>
  <mergeCells count="2">
    <mergeCell ref="A2:B2"/>
    <mergeCell ref="A1:B1"/>
  </mergeCells>
  <hyperlinks>
    <hyperlink xmlns:r="http://schemas.openxmlformats.org/officeDocument/2006/relationships" ref="A14" r:id="rId1"/>
    <hyperlink xmlns:r="http://schemas.openxmlformats.org/officeDocument/2006/relationships" ref="A15" r:id="rId2"/>
    <hyperlink xmlns:r="http://schemas.openxmlformats.org/officeDocument/2006/relationships" ref="A16" r:id="rId3"/>
    <hyperlink xmlns:r="http://schemas.openxmlformats.org/officeDocument/2006/relationships" ref="A17" r:id="rId4"/>
    <hyperlink xmlns:r="http://schemas.openxmlformats.org/officeDocument/2006/relationships" ref="A18" r:id="rId5"/>
    <hyperlink xmlns:r="http://schemas.openxmlformats.org/officeDocument/2006/relationships" ref="A19" r:id="rId6"/>
  </hyperlink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tabColor rgb="001B2D55"/>
    <outlinePr summaryBelow="1" summaryRight="1"/>
    <pageSetUpPr fitToPage="1"/>
  </sheetPr>
  <dimension ref="A1:D37"/>
  <sheetViews>
    <sheetView showGridLines="0" rightToLeft="1" workbookViewId="0">
      <pane ySplit="4" topLeftCell="A5" activePane="bottomLeft" state="frozen"/>
      <selection pane="bottomLeft" activeCell="A1" sqref="A1"/>
    </sheetView>
  </sheetViews>
  <sheetFormatPr baseColWidth="8" defaultRowHeight="15"/>
  <cols>
    <col width="6" customWidth="1" min="1" max="1"/>
    <col width="22" customWidth="1" min="2" max="2"/>
    <col width="34" customWidth="1" min="3" max="3"/>
    <col width="110" customWidth="1" min="4" max="4"/>
  </cols>
  <sheetData>
    <row r="1" ht="34" customHeight="1">
      <c r="A1" s="1" t="inlineStr">
        <is>
          <t>תוכן המצגת</t>
        </is>
      </c>
    </row>
    <row r="2" ht="22" customHeight="1">
      <c r="A2" s="2" t="inlineStr">
        <is>
          <t>כל השקפים והנושאים לפי סדר המצגת האינטראקטיבית</t>
        </is>
      </c>
    </row>
    <row r="4" ht="24" customHeight="1">
      <c r="A4" s="6" t="inlineStr">
        <is>
          <t>#</t>
        </is>
      </c>
      <c r="B4" s="6" t="inlineStr">
        <is>
          <t>חלק</t>
        </is>
      </c>
      <c r="C4" s="6" t="inlineStr">
        <is>
          <t>נושא</t>
        </is>
      </c>
      <c r="D4" s="6" t="inlineStr">
        <is>
          <t>מה נלמד</t>
        </is>
      </c>
    </row>
    <row r="5" ht="52.5" customHeight="1">
      <c r="A5" s="8" t="n">
        <v>1</v>
      </c>
      <c r="B5" s="4" t="inlineStr">
        <is>
          <t>א. מנהלות</t>
        </is>
      </c>
      <c r="C5" s="9" t="inlineStr">
        <is>
          <t>שלושה ערוצים, קורס אחד</t>
        </is>
      </c>
      <c r="D5" s="4" t="inlineStr">
        <is>
          <t>מפגשים חיים (מקוונים, איתי, ומוקלטים): כאן לומדים ליישם ולפתור, ומכאן מגיע רוב המבחן. מערכת הסילה: התקדמות עצמאית, הדרכות ובחנים לכל יחידה, עקרונות ומושגים ברמה בסיסית. קובץ Excel אחד: כל מפגש בגיליון נפרד, מוקלד ומסוכם במלואו, ואחרי כל מפגש תרגילים עם פתרון מלא.</t>
        </is>
      </c>
    </row>
    <row r="6" ht="52.5" customHeight="1">
      <c r="A6" s="10" t="n">
        <v>2</v>
      </c>
      <c r="B6" s="11" t="inlineStr">
        <is>
          <t>א. מנהלות</t>
        </is>
      </c>
      <c r="C6" s="12" t="inlineStr">
        <is>
          <t>הסילה היא חובה</t>
        </is>
      </c>
      <c r="D6" s="11" t="inlineStr">
        <is>
          <t>חובת הגשה של הבחנים והתקדמות ביחידות המערכת. בכל בוחן 3 ניסיונות, וארבע תשובות נכונות בבוחן הן ציון 100. תקלה טכנית: תמיכת הסילה 03-9151151, sylla@webacademix.co.il, ימים א׳ עד ה׳ בין 09:00 ל-16:00.</t>
        </is>
      </c>
    </row>
    <row r="7" ht="52.5" customHeight="1">
      <c r="A7" s="8" t="n">
        <v>3</v>
      </c>
      <c r="B7" s="4" t="inlineStr">
        <is>
          <t>א. מנהלות</t>
        </is>
      </c>
      <c r="C7" s="9" t="inlineStr">
        <is>
          <t>הבחינה</t>
        </is>
      </c>
      <c r="D7" s="4" t="inlineStr">
        <is>
          <t>20 שאלות אמריקאיות, על נייר ולא על מחשב. חלק א: הגדרות והתמצאות (6 שאלות). חלק ב: צילום מסך ושאלה ״מה עושים?״ (14 שאלות). רוב השאלות מעשיות: איזו נוסחה, איזה כלי, מה התוצאה. לקראת הבחינה יעלה מיקוד.</t>
        </is>
      </c>
    </row>
    <row r="8" ht="52.5" customHeight="1">
      <c r="A8" s="10" t="n">
        <v>4</v>
      </c>
      <c r="B8" s="11" t="inlineStr">
        <is>
          <t>א. מנהלות</t>
        </is>
      </c>
      <c r="C8" s="12" t="inlineStr">
        <is>
          <t>ממה לומדים לבחינה</t>
        </is>
      </c>
      <c r="D8" s="11" t="inlineStr">
        <is>
          <t>הסילה: עקרונות, מושגים, ״מה זה הכלי הזה״. חלק לא גדול מהבחינה. המפגשים: יישום, פתרון בעיות וניתוחים ״תכל׳ס״. זה לב הבחינה. המטרה האמיתית: לצאת מהקורס כשאתם יודעים להסביר, לעשות ולפתור, ולא רק לעבור מבחן. זה ריאיון עבודה.</t>
        </is>
      </c>
    </row>
    <row r="9" ht="52.5" customHeight="1">
      <c r="A9" s="8" t="n">
        <v>5</v>
      </c>
      <c r="B9" s="4" t="inlineStr">
        <is>
          <t>ב. יסודות Excel</t>
        </is>
      </c>
      <c r="C9" s="9" t="inlineStr">
        <is>
          <t>למה Excel ולא Word</t>
        </is>
      </c>
      <c r="D9" s="4" t="inlineStr">
        <is>
          <t>טבלה ב-Word היא טקסט ותצוגה בלבד: נחתכת לעמודים, לתאים אין כתובות, ואי אפשר לחשב עם הערכים. טבלה ב-Excel היא רציפה ו״אינסופית״, לכל תא כתובת, ולכן אפשר להפנות לערך מדויק ולחשב. משנים נתון, והחישוב מתעדכן.</t>
        </is>
      </c>
    </row>
    <row r="10" ht="52.5" customHeight="1">
      <c r="A10" s="10" t="n">
        <v>6</v>
      </c>
      <c r="B10" s="11" t="inlineStr">
        <is>
          <t>ב. יסודות Excel</t>
        </is>
      </c>
      <c r="C10" s="12" t="inlineStr">
        <is>
          <t>תא, שורה, עמודה</t>
        </is>
      </c>
      <c r="D10" s="11" t="inlineStr">
        <is>
          <t>תא הוא המשבצת הבסיסית, וכתובתו היא אות העמודה ואחריה מספר השורה (C4). עמודה היא רצף אנכי (עמודה = עומד). שורה היא רצף אופקי. קליק על אות מסמן עמודה שלמה, קליק על מספר מסמן שורה שלמה.</t>
        </is>
      </c>
    </row>
    <row r="11" ht="37" customHeight="1">
      <c r="A11" s="8" t="n">
        <v>7</v>
      </c>
      <c r="B11" s="4" t="inlineStr">
        <is>
          <t>ב. יסודות Excel</t>
        </is>
      </c>
      <c r="C11" s="9" t="inlineStr">
        <is>
          <t>שדה ורשומה</t>
        </is>
      </c>
      <c r="D11" s="4" t="inlineStr">
        <is>
          <t>בטבלת נתונים, עמודה = שדה (סוג מידע אחד לכל הפריטים, למשל ״עיר״ של כל הלקוחות) ושורה = רשומה (כל המידע על פריט אחד, למשל כל מה שידוע על ״דין״).</t>
        </is>
      </c>
    </row>
    <row r="12" ht="52.5" customHeight="1">
      <c r="A12" s="10" t="n">
        <v>8</v>
      </c>
      <c r="B12" s="11" t="inlineStr">
        <is>
          <t>ב. יסודות Excel</t>
        </is>
      </c>
      <c r="C12" s="12" t="inlineStr">
        <is>
          <t>פריסה: מימין לשמאל</t>
        </is>
      </c>
      <c r="D12" s="11" t="inlineStr">
        <is>
          <t>באנגלית הגיליון נפתח משמאל לימין. בקורס עובדים בפריסה עברית, שבה עמודה A בצד ימין. מחליפים ב: פריסת עמוד (Page Layout) ← גיליון מימין לשמאל (Sheet Right-to-Left). הפריסה משנה רק את התצוגה. הכתובת נשארת אות ואז מספר: C3 הוא C3 בשתי הפריסות.</t>
        </is>
      </c>
    </row>
    <row r="13" ht="37" customHeight="1">
      <c r="A13" s="8" t="n">
        <v>9</v>
      </c>
      <c r="B13" s="4" t="inlineStr">
        <is>
          <t>ב. יסודות Excel</t>
        </is>
      </c>
      <c r="C13" s="9" t="inlineStr">
        <is>
          <t>כתובת תא: תקין או לא</t>
        </is>
      </c>
      <c r="D13" s="4" t="inlineStr">
        <is>
          <t>כתובת תא: קודם אות, אחר כך מספר. גם בגיליון עברי, שבו עמודה A יושבת בצד ימין, כותבים C18 ולא 18C.</t>
        </is>
      </c>
    </row>
    <row r="14" ht="37" customHeight="1">
      <c r="A14" s="10" t="n">
        <v>10</v>
      </c>
      <c r="B14" s="11" t="inlineStr">
        <is>
          <t>ב. יסודות Excel</t>
        </is>
      </c>
      <c r="C14" s="12" t="inlineStr">
        <is>
          <t>חוברת עבודה מול גיליון</t>
        </is>
      </c>
      <c r="D14" s="11" t="inlineStr">
        <is>
          <t>חוברת עבודה (Workbook) היא קובץ Excel שלם, על כל הגיליונות שבו. גיליון (Sheet) הוא מרחב עבודה נפרד בתוך הקובץ, ובכל קובץ יש לפחות אחד. ״שלח לי את הקובץ״ פירושו חוברת העבודה.</t>
        </is>
      </c>
    </row>
    <row r="15" ht="37" customHeight="1">
      <c r="A15" s="8" t="n">
        <v>11</v>
      </c>
      <c r="B15" s="4" t="inlineStr">
        <is>
          <t>ב. יסודות Excel</t>
        </is>
      </c>
      <c r="C15" s="9" t="inlineStr">
        <is>
          <t>מצב Ready (מוכן)</t>
        </is>
      </c>
      <c r="D15" s="4" t="inlineStr">
        <is>
          <t>נכנסים בקליק בודד על תא, או בחיצים, Enter או Tab. הקלדה תדרוס את התוכן הקיים (ועוברים למצב Enter). זה מצב ״המנוחה״: התא מסומן ועוד לא מקלידים בו.</t>
        </is>
      </c>
    </row>
    <row r="16" ht="37" customHeight="1">
      <c r="A16" s="10" t="n">
        <v>12</v>
      </c>
      <c r="B16" s="11" t="inlineStr">
        <is>
          <t>ב. יסודות Excel</t>
        </is>
      </c>
      <c r="C16" s="12" t="inlineStr">
        <is>
          <t>מצב Enter (הזנה)</t>
        </is>
      </c>
      <c r="D16" s="11" t="inlineStr">
        <is>
          <t>נכנסים בהקלדה בתא ריק, או בהתחלת הקלדה ממצב Ready (ואז הישן נמחק). גם דאבל קליק על תא ריק. Enter קולט וירד שורה. ESC מבטל ומחזיר את התא למה שהיה.</t>
        </is>
      </c>
    </row>
    <row r="17" ht="37" customHeight="1">
      <c r="A17" s="8" t="n">
        <v>13</v>
      </c>
      <c r="B17" s="4" t="inlineStr">
        <is>
          <t>ב. יסודות Excel</t>
        </is>
      </c>
      <c r="C17" s="9" t="inlineStr">
        <is>
          <t>מצב Edit (עריכה)</t>
        </is>
      </c>
      <c r="D17" s="4" t="inlineStr">
        <is>
          <t>נכנסים בדאבל קליק על תא שיש בו תוכן, או בקליק בשורת הנוסחאות (fx). ההקלדה מתווספת במקום שבו הסמן עומד, והתוכן הקיים נשמר. Enter קולט, ESC מבטל.</t>
        </is>
      </c>
    </row>
    <row r="18" ht="37" customHeight="1">
      <c r="A18" s="10" t="n">
        <v>14</v>
      </c>
      <c r="B18" s="11" t="inlineStr">
        <is>
          <t>ב. יסודות Excel</t>
        </is>
      </c>
      <c r="C18" s="12" t="inlineStr">
        <is>
          <t>שלושת המצבים יחד</t>
        </is>
      </c>
      <c r="D18" s="11" t="inlineStr">
        <is>
          <t>קליק = Ready. דאבל קליק = Edit. הקלדה = Enter. Excel מציג את המצב בשורת המצב, בתחתית החלון. שאלה על המצבים הופיעה בחלק א בכל הבחינות האחרונות.</t>
        </is>
      </c>
    </row>
    <row r="19" ht="52.5" customHeight="1">
      <c r="A19" s="8" t="n">
        <v>15</v>
      </c>
      <c r="B19" s="4" t="inlineStr">
        <is>
          <t>ב. יסודות Excel</t>
        </is>
      </c>
      <c r="C19" s="9" t="inlineStr">
        <is>
          <t>לזוז בלי עכבר</t>
        </is>
      </c>
      <c r="D19" s="4" t="inlineStr">
        <is>
          <t>Tab: לעמודה הבאה. Shift+Tab: לעמודה הקודמת. Enter: לשורה הבאה (במקום חץ למטה). Shift+Enter: לשורה הקודמת (במקום חץ למעלה). בגיליון עברי ״העמודה הבאה״ נמצאת משמאל. כלל אצבע: מסיימים להקליד, ורק אז זזים.</t>
        </is>
      </c>
    </row>
    <row r="20" ht="37" customHeight="1">
      <c r="A20" s="10" t="n">
        <v>16</v>
      </c>
      <c r="B20" s="11" t="inlineStr">
        <is>
          <t>ב. יסודות Excel</t>
        </is>
      </c>
      <c r="C20" s="12" t="inlineStr">
        <is>
          <t>הכול מתחיל ב-=</t>
        </is>
      </c>
      <c r="D20" s="11" t="inlineStr">
        <is>
          <t>בחברת ״דניאל״ בע״מ: יתרה לתשלום = סך המכירה פחות הסכום שנגבה. בתא היתרה מקלידים =, לוחצים על התא של המכירה, מינוס, לוחצים על התא של הגבייה, Enter, וגוררים את הריבוע הירוק למטה.</t>
        </is>
      </c>
    </row>
    <row r="21" ht="37" customHeight="1">
      <c r="A21" s="8" t="n">
        <v>17</v>
      </c>
      <c r="B21" s="4" t="inlineStr">
        <is>
          <t>ב. יסודות Excel</t>
        </is>
      </c>
      <c r="C21" s="9" t="inlineStr">
        <is>
          <t>תוספת באחוזים</t>
        </is>
      </c>
      <c r="D21" s="4" t="inlineStr">
        <is>
          <t>מחיר × (1 + שיעור). 100 ש״ח עם תוספת של 18%: 100 × 1.18 = 118. הכפל ב-18% בלבד נותן 18, וזו רק התוספת.</t>
        </is>
      </c>
    </row>
    <row r="22" ht="37" customHeight="1">
      <c r="A22" s="10" t="n">
        <v>18</v>
      </c>
      <c r="B22" s="11" t="inlineStr">
        <is>
          <t>ב. יסודות Excel</t>
        </is>
      </c>
      <c r="C22" s="12" t="inlineStr">
        <is>
          <t>הנחה באחוזים</t>
        </is>
      </c>
      <c r="D22" s="11" t="inlineStr">
        <is>
          <t>מחיר × (1 - שיעור). 100 ש״ח בהנחה של 20%: 100 × 0.8 = 80. הכפל ב-20% בלבד נותן 20, וזה רק סכום ההנחה.</t>
        </is>
      </c>
    </row>
    <row r="23" ht="37" customHeight="1">
      <c r="A23" s="8" t="n">
        <v>19</v>
      </c>
      <c r="B23" s="4" t="inlineStr">
        <is>
          <t>ב. יסודות Excel</t>
        </is>
      </c>
      <c r="C23" s="9" t="inlineStr">
        <is>
          <t>למה הפניה לתא ולא להקליד 15%</t>
        </is>
      </c>
      <c r="D23" s="4" t="inlineStr">
        <is>
          <t>הקלדה, =D114*(1-15%): האחוז נעול בתוך הנוסחה, ובגרירה נשאר 15% בכל השורות. הפניה, =D114*(1-E114): Excel לוקח את האחוז מהתא, ובגרירה ההפניה זזה עם השורה (E115, E116 וכן הלאה).</t>
        </is>
      </c>
    </row>
    <row r="24" ht="52.5" customHeight="1">
      <c r="A24" s="10" t="n">
        <v>20</v>
      </c>
      <c r="B24" s="11" t="inlineStr">
        <is>
          <t>ב. יסודות Excel</t>
        </is>
      </c>
      <c r="C24" s="12" t="inlineStr">
        <is>
          <t>למה רוחב העמודה לא מספיק</t>
        </is>
      </c>
      <c r="D24" s="11" t="inlineStr">
        <is>
          <t>הרוחב קבוע והתוכן לא. טקסט ארוך גולש לתא הסמוך, אבל רק אם הוא ריק. אם יש שם תוכן, הטקסט נחתך. מספר שלא נכנס לא נחתך: Excel מציג ####. בשני המקרים הערך המלא קיים בתא, ורואים אותו בשורת הנוסחאות.</t>
        </is>
      </c>
    </row>
    <row r="25" ht="37" customHeight="1">
      <c r="A25" s="8" t="n">
        <v>21</v>
      </c>
      <c r="B25" s="4" t="inlineStr">
        <is>
          <t>ב. יסודות Excel</t>
        </is>
      </c>
      <c r="C25" s="9" t="inlineStr">
        <is>
          <t>רוחב עמודה, דרך 1: גרירת הגבול</t>
        </is>
      </c>
      <c r="D25" s="4" t="inlineStr">
        <is>
          <t>עומדים על הקו שבין שתי אותיות עמודה (הסמן הופך ל-↔), לוחצים וגוררים. בגיליון עברי גוררים שמאלה כדי להרחיב. הקו שבין שני מספרי שורות משנה את גובה השורה, לא את רוחב העמודה.</t>
        </is>
      </c>
    </row>
    <row r="26" ht="37" customHeight="1">
      <c r="A26" s="10" t="n">
        <v>22</v>
      </c>
      <c r="B26" s="11" t="inlineStr">
        <is>
          <t>ב. יסודות Excel</t>
        </is>
      </c>
      <c r="C26" s="12" t="inlineStr">
        <is>
          <t>רוחב עמודה, דרך 2: דאבל קליק על הגבול</t>
        </is>
      </c>
      <c r="D26" s="11" t="inlineStr">
        <is>
          <t>Excel מרחיב את העמודה בדיוק לפי התוכן הארוך ביותר בה. טריק: מסמנים כמה עמודות ועושים דאבל קליק על גבול של אחת מהן, וכולן מתאימות את עצמן.</t>
        </is>
      </c>
    </row>
    <row r="27" ht="37" customHeight="1">
      <c r="A27" s="8" t="n">
        <v>23</v>
      </c>
      <c r="B27" s="4" t="inlineStr">
        <is>
          <t>ב. יסודות Excel</t>
        </is>
      </c>
      <c r="C27" s="9" t="inlineStr">
        <is>
          <t>רוחב עמודה, דרך 3: רוחב מדויק</t>
        </is>
      </c>
      <c r="D27" s="4" t="inlineStr">
        <is>
          <t>קליק ימני על אות העמודה ← רוחב עמודה (Column Width) ← מקלידים מספר ← אישור. שימושי לכמה עמודות ברוחב זהה בדיוק.</t>
        </is>
      </c>
    </row>
    <row r="28" ht="37" customHeight="1">
      <c r="A28" s="10" t="n">
        <v>24</v>
      </c>
      <c r="B28" s="11" t="inlineStr">
        <is>
          <t>ב. יסודות Excel</t>
        </is>
      </c>
      <c r="C28" s="12" t="inlineStr">
        <is>
          <t>השלמה אוטומטית</t>
        </is>
      </c>
      <c r="D28" s="11" t="inlineStr">
        <is>
          <t>בעמודת טקסט רציפה, אחרי אות או שתיים Excel משלים ערך קיים. Enter מאשר את ההצעה, ממשיכים להקליד כדי לדחות אותה. אם יש כמה ערכים מתאימים, Excel מחכה לאות נוספת.</t>
        </is>
      </c>
    </row>
    <row r="29" ht="37" customHeight="1">
      <c r="A29" s="8" t="n">
        <v>25</v>
      </c>
      <c r="B29" s="4" t="inlineStr">
        <is>
          <t>ב. יסודות Excel</t>
        </is>
      </c>
      <c r="C29" s="9" t="inlineStr">
        <is>
          <t>הוספת שורה ועמודה</t>
        </is>
      </c>
      <c r="D29" s="4" t="inlineStr">
        <is>
          <t>קליק ימני על מספר שורה ← הוספה (Insert): שורה ריקה נוספת מעל. קליק ימני על אות עמודה ← הוספה: עמודה ריקה נוספת לפניה. קיצור: מסמנים שורה ולוחצים Ctrl+Shift++ (במק: Cmd).</t>
        </is>
      </c>
    </row>
    <row r="30" ht="37" customHeight="1">
      <c r="A30" s="10" t="n">
        <v>26</v>
      </c>
      <c r="B30" s="11" t="inlineStr">
        <is>
          <t>ב. יסודות Excel</t>
        </is>
      </c>
      <c r="C30" s="12" t="inlineStr">
        <is>
          <t>מחיקת שורה</t>
        </is>
      </c>
      <c r="D30" s="11" t="inlineStr">
        <is>
          <t>קליק ימני על מספר השורה ← מחיקה, או סימון שורה ו-Ctrl+- (במק: Cmd+-). השורות שמתחת עולות. מקש Delete על תאים רק מנקה תוכן והשורה נשארת.</t>
        </is>
      </c>
    </row>
    <row r="31" ht="37" customHeight="1">
      <c r="A31" s="8" t="n">
        <v>27</v>
      </c>
      <c r="B31" s="4" t="inlineStr">
        <is>
          <t>ב. יסודות Excel</t>
        </is>
      </c>
      <c r="C31" s="9" t="inlineStr">
        <is>
          <t>רצועת הכלים (Ribbon)</t>
        </is>
      </c>
      <c r="D31" s="4" t="inlineStr">
        <is>
          <t>הסרגל העליון של Excel. בכרטיסיית ״בית״: גופן, גודל, צבע גופן, מילוי, הדגשה, נטוי וקו תחתון. קודם מסמנים, אחר כך מעצבים. העיצוב משנה את המראה בלבד, לא את הערך.</t>
        </is>
      </c>
    </row>
    <row r="32" ht="37" customHeight="1">
      <c r="A32" s="10" t="n">
        <v>28</v>
      </c>
      <c r="B32" s="11" t="inlineStr">
        <is>
          <t>ב. יסודות Excel</t>
        </is>
      </c>
      <c r="C32" s="12" t="inlineStr">
        <is>
          <t>סימון מהיר: Ctrl+Shift+↓</t>
        </is>
      </c>
      <c r="D32" s="11" t="inlineStr">
        <is>
          <t>מסמן עד התא הריק הראשון. אם יש באמצע הטבלה תא ריק, הסימון נעצר לפניו, ולכן לא בהכרח מסומנת כל הטבלה. לוחצים שוב כדי להמשיך. בלי Shift (Ctrl+↓): רק קופצים, בלי לסמן.</t>
        </is>
      </c>
    </row>
    <row r="33" ht="52.5" customHeight="1">
      <c r="A33" s="8" t="n">
        <v>29</v>
      </c>
      <c r="B33" s="4" t="inlineStr">
        <is>
          <t>ב. יסודות Excel</t>
        </is>
      </c>
      <c r="C33" s="9" t="inlineStr">
        <is>
          <t>גרירה מהגבול = העברה</t>
        </is>
      </c>
      <c r="D33" s="4" t="inlineStr">
        <is>
          <t>מסמנים טווח, עומדים על הגבול שלו (הסמן הופך לחצים) וגוררים. המידע עובר למקום החדש והמקום הישן נשאר ריק. זו העברה (Move) ולא העתקה. הריבוע הקטן בפינה הוא משהו אחר: גרירה שמשכפלת נוסחה.</t>
        </is>
      </c>
    </row>
    <row r="34" ht="37" customHeight="1">
      <c r="A34" s="10" t="n">
        <v>30</v>
      </c>
      <c r="B34" s="11" t="inlineStr">
        <is>
          <t>ב. יסודות Excel</t>
        </is>
      </c>
      <c r="C34" s="12" t="inlineStr">
        <is>
          <t>סיכום ביניים</t>
        </is>
      </c>
      <c r="D34" s="11" t="inlineStr">
        <is>
          <t>תא = אות ואז מספר. חישוב = מתחיל ב-= ומפנה לתאים. תוספת: ×(1+%). הנחה: ×(1-%). קליק = Ready, דאבל קליק = Edit, הקלדה = Enter.</t>
        </is>
      </c>
    </row>
    <row r="35" ht="52.5" customHeight="1">
      <c r="A35" s="8" t="n">
        <v>31</v>
      </c>
      <c r="B35" s="4" t="inlineStr">
        <is>
          <t>ג. תרגול בסגנון מבחן</t>
        </is>
      </c>
      <c r="C35" s="9" t="inlineStr">
        <is>
          <t>איך פותרים שאלת טענות</t>
        </is>
      </c>
      <c r="D35" s="4" t="inlineStr">
        <is>
          <t>טענה אחת בכל פעם, לפני שמסתכלים על האפשרויות. נכונה או שגויה, עם נימוק של שורה. שיבוש אחד פוסל: מילה אחת לא נכונה הופכת את כל הטענה לשגויה. רק אז מחפשים את הצירוף המתאים. ״כל הטענות שגויות״ היא אפשרות לגיטימית.</t>
        </is>
      </c>
    </row>
    <row r="36" ht="37" customHeight="1">
      <c r="A36" s="10" t="n">
        <v>32</v>
      </c>
      <c r="B36" s="11" t="inlineStr">
        <is>
          <t>ג. תרגול בסגנון מבחן</t>
        </is>
      </c>
      <c r="C36" s="12" t="inlineStr">
        <is>
          <t>18 שאלות בסגנון מבחן</t>
        </is>
      </c>
      <c r="D36" s="11" t="inlineStr">
        <is>
          <t>ראו את הגיליון ״שאלות ופתרונות״. השאלות מסודרות מההגדרות ועד החישובים.</t>
        </is>
      </c>
    </row>
    <row r="37" ht="52.5" customHeight="1">
      <c r="A37" s="8" t="n">
        <v>33</v>
      </c>
      <c r="B37" s="4" t="inlineStr">
        <is>
          <t>ג. תרגול בסגנון מבחן</t>
        </is>
      </c>
      <c r="C37" s="9" t="inlineStr">
        <is>
          <t>עד המפגש הבא</t>
        </is>
      </c>
      <c r="D37" s="4" t="inlineStr">
        <is>
          <t>סילה: יחידות 1 ו-2, הדרכות ובחנים, חובה. קובץ המפגש: גיליון ״מפגש 1״ באתר, כולל התרגילים והפתרונות המלאים. לבד, 15 דקות: לפתוח Excel, לבנות טבלה קטנה, נוסחה עם =, גרירה ושלושת המצבים. אקסל לומדים בידיים.</t>
        </is>
      </c>
    </row>
  </sheetData>
  <mergeCells count="2">
    <mergeCell ref="A1:D1"/>
    <mergeCell ref="A2:D2"/>
  </mergeCells>
  <printOptions horizontalCentered="1"/>
  <pageMargins left="0.75" right="0.75" top="1" bottom="1" header="0.5" footer="0.5"/>
  <pageSetup orientation="landscape" fitToHeight="0" fitToWidth="1"/>
</worksheet>
</file>

<file path=xl/worksheets/sheet3.xml><?xml version="1.0" encoding="utf-8"?>
<worksheet xmlns="http://schemas.openxmlformats.org/spreadsheetml/2006/main">
  <sheetPr>
    <tabColor rgb="000F9D90"/>
    <outlinePr summaryBelow="1" summaryRight="1"/>
    <pageSetUpPr fitToPage="1"/>
  </sheetPr>
  <dimension ref="A1:D16"/>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20" customWidth="1" min="2" max="2"/>
    <col width="70" customWidth="1" min="3" max="3"/>
    <col width="48" customWidth="1" min="4" max="4"/>
  </cols>
  <sheetData>
    <row r="1" ht="34" customHeight="1">
      <c r="A1" s="1" t="inlineStr">
        <is>
          <t>מושגים</t>
        </is>
      </c>
    </row>
    <row r="2" ht="22" customHeight="1">
      <c r="A2" s="2" t="inlineStr">
        <is>
          <t>לכל מושג: הגדרה פשוטה ודוגמה קצרה</t>
        </is>
      </c>
    </row>
    <row r="4" ht="24" customHeight="1">
      <c r="A4" s="6" t="inlineStr">
        <is>
          <t>מושג</t>
        </is>
      </c>
      <c r="B4" s="6" t="inlineStr">
        <is>
          <t>באנגלית</t>
        </is>
      </c>
      <c r="C4" s="6" t="inlineStr">
        <is>
          <t>בפשטות</t>
        </is>
      </c>
      <c r="D4" s="6" t="inlineStr">
        <is>
          <t>דוגמה</t>
        </is>
      </c>
    </row>
    <row r="5" ht="52.5" customHeight="1">
      <c r="A5" s="13" t="inlineStr">
        <is>
          <t>תא</t>
        </is>
      </c>
      <c r="B5" s="4" t="inlineStr">
        <is>
          <t>Cell</t>
        </is>
      </c>
      <c r="C5" s="4" t="inlineStr">
        <is>
          <t>המשבצת הבסיסית בגיליון. כתובתו: אות העמודה ואחריה מספר השורה. תא יכול להכיל מספר, טקסט, תאריך, נוסחה, או הפניה לתאים אחרים.</t>
        </is>
      </c>
      <c r="D5" s="4" t="inlineStr">
        <is>
          <t>C46: עמודה C, שורה 46.</t>
        </is>
      </c>
    </row>
    <row r="6" ht="37" customHeight="1">
      <c r="A6" s="14" t="inlineStr">
        <is>
          <t>עמודה</t>
        </is>
      </c>
      <c r="B6" s="11" t="inlineStr">
        <is>
          <t>Column</t>
        </is>
      </c>
      <c r="C6" s="11" t="inlineStr">
        <is>
          <t>רצף תאים אנכי לאורך הגיליון, מסומן באות. בטבלת נתונים עמודה נקראת גם ״שדה״.</t>
        </is>
      </c>
      <c r="D6" s="11" t="inlineStr">
        <is>
          <t>עמודה = עומד.</t>
        </is>
      </c>
    </row>
    <row r="7" ht="37" customHeight="1">
      <c r="A7" s="13" t="inlineStr">
        <is>
          <t>שורה</t>
        </is>
      </c>
      <c r="B7" s="4" t="inlineStr">
        <is>
          <t>Row</t>
        </is>
      </c>
      <c r="C7" s="4" t="inlineStr">
        <is>
          <t>רצף תאים אופקי לאורך הגיליון, מסומן במספר. בטבלת נתונים שורה נקראת גם ״רשומה״.</t>
        </is>
      </c>
      <c r="D7" s="4" t="inlineStr">
        <is>
          <t>שורה 4: A4, B4, C4…</t>
        </is>
      </c>
    </row>
    <row r="8" ht="37" customHeight="1">
      <c r="A8" s="14" t="inlineStr">
        <is>
          <t>גיליון</t>
        </is>
      </c>
      <c r="B8" s="11" t="inlineStr">
        <is>
          <t>Sheet / Worksheet</t>
        </is>
      </c>
      <c r="C8" s="11" t="inlineStr">
        <is>
          <t>מרחב עבודה נפרד בתוך קובץ Excel. בכל קובץ יש לפחות גיליון אחד. שמות הגיליונות מופיעים בתחתית המסך.</t>
        </is>
      </c>
      <c r="D8" s="11" t="inlineStr">
        <is>
          <t>קובץ הקורס: גיליון לכל מפגש.</t>
        </is>
      </c>
    </row>
    <row r="9" ht="37" customHeight="1">
      <c r="A9" s="13" t="inlineStr">
        <is>
          <t>חוברת עבודה</t>
        </is>
      </c>
      <c r="B9" s="4" t="inlineStr">
        <is>
          <t>Workbook</t>
        </is>
      </c>
      <c r="C9" s="4" t="inlineStr">
        <is>
          <t>קובץ Excel שלם, על כל הגיליונות שבו.</t>
        </is>
      </c>
      <c r="D9" s="4" t="inlineStr">
        <is>
          <t>״שלח לי את הקובץ״ = שלח לי את חוברת העבודה.</t>
        </is>
      </c>
    </row>
    <row r="10" ht="37" customHeight="1">
      <c r="A10" s="14" t="inlineStr">
        <is>
          <t>מצב Ready</t>
        </is>
      </c>
      <c r="B10" s="11" t="inlineStr">
        <is>
          <t>Ready mode</t>
        </is>
      </c>
      <c r="C10" s="11" t="inlineStr">
        <is>
          <t>מגיעים לתא בקליק בודד או בחיצים. התא מוכן להקלדה, והקלדה תדרוס את התוכן הקיים.</t>
        </is>
      </c>
      <c r="D10" s="11" t="inlineStr">
        <is>
          <t>קליק על ״רחובות״ והקלדת ״לוד״: נשאר ״לוד״.</t>
        </is>
      </c>
    </row>
    <row r="11" ht="52.5" customHeight="1">
      <c r="A11" s="13" t="inlineStr">
        <is>
          <t>מצב Enter</t>
        </is>
      </c>
      <c r="B11" s="4" t="inlineStr">
        <is>
          <t>Enter mode</t>
        </is>
      </c>
      <c r="C11" s="4" t="inlineStr">
        <is>
          <t>הזנת נתונים מאפס: הקלדה בתא ריק, או התחלת הקלדה ממצב Ready. מקש Enter קולט את הנתונים, ESC מבטל ומחזיר את התא למצבו הקודם.</t>
        </is>
      </c>
      <c r="D11" s="4" t="inlineStr">
        <is>
          <t>דאבל קליק על תא ריק = Enter, לא Edit.</t>
        </is>
      </c>
    </row>
    <row r="12" ht="37" customHeight="1">
      <c r="A12" s="14" t="inlineStr">
        <is>
          <t>מצב Edit</t>
        </is>
      </c>
      <c r="B12" s="11" t="inlineStr">
        <is>
          <t>Edit mode</t>
        </is>
      </c>
      <c r="C12" s="11" t="inlineStr">
        <is>
          <t>עריכת תוכן קיים: דאבל קליק על תא שיש בו תוכן. ההקלדה מתווספת לתוכן ולא מוחקת אותו.</t>
        </is>
      </c>
      <c r="D12" s="11" t="inlineStr">
        <is>
          <t>״רחובות״ + דאבל קליק + ״ מערב״ = ״רחובות מערב״.</t>
        </is>
      </c>
    </row>
    <row r="13" ht="37" customHeight="1">
      <c r="A13" s="13" t="inlineStr">
        <is>
          <t>הפניה</t>
        </is>
      </c>
      <c r="B13" s="4" t="inlineStr">
        <is>
          <t>Cell reference</t>
        </is>
      </c>
      <c r="C13" s="4" t="inlineStr">
        <is>
          <t>שימוש בכתובת תא בתוך נוסחה, כדי לעבוד עם הערך שבו. מתחילים תמיד בסימן =. אפשר להקליד את הכתובת או ללחוץ על התא.</t>
        </is>
      </c>
      <c r="D13" s="4">
        <f>C102-D102</f>
        <v/>
      </c>
    </row>
    <row r="14" ht="37" customHeight="1">
      <c r="A14" s="14" t="inlineStr">
        <is>
          <t>גרירה</t>
        </is>
      </c>
      <c r="B14" s="11" t="inlineStr">
        <is>
          <t>Fill / Drag</t>
        </is>
      </c>
      <c r="C14" s="11" t="inlineStr">
        <is>
          <t>שכפול נוסחה לתאים סמוכים בעזרת הנקודה הירוקה בפינת התא. Excel מזיז את ההפניות בהתאם לשורה.</t>
        </is>
      </c>
      <c r="D14" s="11">
        <f>C102-D102 הופך בשורה הבאה ל-=C103-D103.</f>
        <v/>
      </c>
    </row>
    <row r="15" ht="37" customHeight="1">
      <c r="A15" s="13" t="inlineStr">
        <is>
          <t>השלמה אוטומטית</t>
        </is>
      </c>
      <c r="B15" s="4" t="inlineStr">
        <is>
          <t>AutoComplete</t>
        </is>
      </c>
      <c r="C15" s="4" t="inlineStr">
        <is>
          <t>בעמודת טקסט רציפה, Excel מציע להשלים ערך שכבר הוקלד בה. דוחים את ההצעה בהמשך הקלדה.</t>
        </is>
      </c>
      <c r="D15" s="4" t="inlineStr">
        <is>
          <t>״ב״ ← ״בירה״.</t>
        </is>
      </c>
    </row>
    <row r="16" ht="21.5" customHeight="1">
      <c r="A16" s="14" t="inlineStr">
        <is>
          <t>רצועת הכלים</t>
        </is>
      </c>
      <c r="B16" s="11" t="inlineStr">
        <is>
          <t>Ribbon</t>
        </is>
      </c>
      <c r="C16" s="11" t="inlineStr">
        <is>
          <t>סרגל הכלים העליון: עיצוב גופן, גודל, צבע, יישור ועוד.</t>
        </is>
      </c>
      <c r="D16" s="11" t="inlineStr">
        <is>
          <t>צבע גופן נמצא בכרטיסיית ״בית״.</t>
        </is>
      </c>
    </row>
  </sheetData>
  <mergeCells count="2">
    <mergeCell ref="A1:D1"/>
    <mergeCell ref="A2:D2"/>
  </mergeCells>
  <printOptions horizontalCentered="1"/>
  <pageMargins left="0.75" right="0.75" top="1" bottom="1" header="0.5" footer="0.5"/>
  <pageSetup orientation="landscape" fitToHeight="0" fitToWidth="1"/>
</worksheet>
</file>

<file path=xl/worksheets/sheet4.xml><?xml version="1.0" encoding="utf-8"?>
<worksheet xmlns="http://schemas.openxmlformats.org/spreadsheetml/2006/main">
  <sheetPr>
    <tabColor rgb="006D4DF2"/>
    <outlinePr summaryBelow="1" summaryRight="1"/>
    <pageSetUpPr fitToPage="1"/>
  </sheetPr>
  <dimension ref="A1:D8"/>
  <sheetViews>
    <sheetView showGridLines="0" rightToLeft="1" workbookViewId="0">
      <selection activeCell="A1" sqref="A1"/>
    </sheetView>
  </sheetViews>
  <sheetFormatPr baseColWidth="8" defaultRowHeight="15"/>
  <cols>
    <col width="22" customWidth="1" min="1" max="1"/>
    <col width="44" customWidth="1" min="2" max="2"/>
    <col width="44" customWidth="1" min="3" max="3"/>
    <col width="44" customWidth="1" min="4" max="4"/>
  </cols>
  <sheetData>
    <row r="1" ht="34" customHeight="1">
      <c r="A1" s="1" t="inlineStr">
        <is>
          <t>מצבי הזנה</t>
        </is>
      </c>
    </row>
    <row r="2" ht="22" customHeight="1">
      <c r="A2" s="2" t="inlineStr">
        <is>
          <t>Excel מציג את המצב בשורת המצב, בתחתית החלון. כלל אצבע: קליק = Ready, דאבל קליק = Edit, הקלדה = Enter</t>
        </is>
      </c>
    </row>
    <row r="4" ht="24" customHeight="1">
      <c r="A4" s="6" t="inlineStr"/>
      <c r="B4" s="6" t="inlineStr">
        <is>
          <t>Ready (מוכן)</t>
        </is>
      </c>
      <c r="C4" s="6" t="inlineStr">
        <is>
          <t>Enter (הזנה)</t>
        </is>
      </c>
      <c r="D4" s="6" t="inlineStr">
        <is>
          <t>Edit (עריכה)</t>
        </is>
      </c>
    </row>
    <row r="5" ht="52.5" customHeight="1">
      <c r="A5" s="13" t="inlineStr">
        <is>
          <t>איך נכנסים</t>
        </is>
      </c>
      <c r="B5" s="4" t="inlineStr">
        <is>
          <t>קליק בודד על תא, או מעבר בחיצים, Enter או Tab.</t>
        </is>
      </c>
      <c r="C5" s="4" t="inlineStr">
        <is>
          <t>מתחילים להקליד בתא ריק, או מתחילים להקליד ממצב Ready. גם דאבל קליק על תא ריק.</t>
        </is>
      </c>
      <c r="D5" s="4" t="inlineStr">
        <is>
          <t>דאבל קליק על תא שיש בו תוכן, או קליק בשורת הנוסחאות (fx).</t>
        </is>
      </c>
    </row>
    <row r="6" ht="52.5" customHeight="1">
      <c r="A6" s="14" t="inlineStr">
        <is>
          <t>מה קורה כשמקלידים</t>
        </is>
      </c>
      <c r="B6" s="11" t="inlineStr">
        <is>
          <t>התוכן הקיים נמחק ומתחלף במה שמקלידים (ועוברים למצב Enter).</t>
        </is>
      </c>
      <c r="C6" s="11" t="inlineStr">
        <is>
          <t>הזנה מאפס: מה שמקלידים הוא כל התוכן.</t>
        </is>
      </c>
      <c r="D6" s="11" t="inlineStr">
        <is>
          <t>ההקלדה מתווספת במקום שבו הסמן עומד. התוכן הקיים נשמר, ואפשר לזוז בתוכו עם החיצים.</t>
        </is>
      </c>
    </row>
    <row r="7" ht="37" customHeight="1">
      <c r="A7" s="13" t="inlineStr">
        <is>
          <t>איך יוצאים</t>
        </is>
      </c>
      <c r="B7" s="4" t="inlineStr">
        <is>
          <t>זה מצב ״המנוחה״ של Excel: התא מסומן ועוד לא מקלידים בו.</t>
        </is>
      </c>
      <c r="C7" s="4" t="inlineStr">
        <is>
          <t>Enter קולט וירד שורה. ESC מבטל ומחזיר את התא למה שהיה.</t>
        </is>
      </c>
      <c r="D7" s="4" t="inlineStr">
        <is>
          <t>Enter קולט. ESC מבטל.</t>
        </is>
      </c>
    </row>
    <row r="8" ht="37" customHeight="1">
      <c r="A8" s="14" t="inlineStr">
        <is>
          <t>דוגמה: התא ״רחובות״</t>
        </is>
      </c>
      <c r="B8" s="11" t="inlineStr">
        <is>
          <t>קליק בודד והקלדת ״לוד״: נשאר ״לוד״ (״רחובות״ נמחק).</t>
        </is>
      </c>
      <c r="C8" s="11" t="inlineStr">
        <is>
          <t>דאבל קליק על תא ריק והקלדת ״תקציב״: נשאר ״תקציב״.</t>
        </is>
      </c>
      <c r="D8" s="11" t="inlineStr">
        <is>
          <t>דאבל קליק והקלדת ״ מערב״: נשאר ״רחובות מערב״.</t>
        </is>
      </c>
    </row>
  </sheetData>
  <mergeCells count="2">
    <mergeCell ref="A1:D1"/>
    <mergeCell ref="A2:D2"/>
  </mergeCells>
  <printOptions horizontalCentered="1"/>
  <pageMargins left="0.75" right="0.75" top="1" bottom="1" header="0.5" footer="0.5"/>
  <pageSetup orientation="landscape" fitToHeight="0" fitToWidth="1"/>
</worksheet>
</file>

<file path=xl/worksheets/sheet5.xml><?xml version="1.0" encoding="utf-8"?>
<worksheet xmlns="http://schemas.openxmlformats.org/spreadsheetml/2006/main">
  <sheetPr>
    <tabColor rgb="00E8960C"/>
    <outlinePr summaryBelow="1" summaryRight="1"/>
    <pageSetUpPr fitToPage="1"/>
  </sheetPr>
  <dimension ref="A1:C14"/>
  <sheetViews>
    <sheetView showGridLines="0" rightToLeft="1" workbookViewId="0">
      <pane ySplit="4" topLeftCell="A5" activePane="bottomLeft" state="frozen"/>
      <selection pane="bottomLeft" activeCell="A1" sqref="A1"/>
    </sheetView>
  </sheetViews>
  <sheetFormatPr baseColWidth="8" defaultRowHeight="15"/>
  <cols>
    <col width="24" customWidth="1" min="1" max="1"/>
    <col width="50" customWidth="1" min="2" max="2"/>
    <col width="50" customWidth="1" min="3" max="3"/>
  </cols>
  <sheetData>
    <row r="1" ht="34" customHeight="1">
      <c r="A1" s="1" t="inlineStr">
        <is>
          <t>קיצורי מקלדת</t>
        </is>
      </c>
    </row>
    <row r="2" ht="22" customHeight="1">
      <c r="A2" s="2" t="inlineStr">
        <is>
          <t>המקשים והפעולות שנלמדו במפגש</t>
        </is>
      </c>
    </row>
    <row r="4" ht="24" customHeight="1">
      <c r="A4" s="6" t="inlineStr">
        <is>
          <t>מקש או פעולה</t>
        </is>
      </c>
      <c r="B4" s="6" t="inlineStr">
        <is>
          <t>מה עושה</t>
        </is>
      </c>
      <c r="C4" s="6" t="inlineStr">
        <is>
          <t>הערה</t>
        </is>
      </c>
    </row>
    <row r="5" ht="21.5" customHeight="1">
      <c r="A5" s="15" t="inlineStr">
        <is>
          <t>Tab</t>
        </is>
      </c>
      <c r="B5" s="4" t="inlineStr">
        <is>
          <t>לעמודה הבאה</t>
        </is>
      </c>
      <c r="C5" s="4" t="inlineStr">
        <is>
          <t>בגיליון עברי העמודה הבאה נמצאת משמאל.</t>
        </is>
      </c>
    </row>
    <row r="6" ht="21.5" customHeight="1">
      <c r="A6" s="16" t="inlineStr">
        <is>
          <t>Shift+Tab</t>
        </is>
      </c>
      <c r="B6" s="11" t="inlineStr">
        <is>
          <t>לעמודה הקודמת</t>
        </is>
      </c>
      <c r="C6" s="11" t="inlineStr"/>
    </row>
    <row r="7" ht="21.5" customHeight="1">
      <c r="A7" s="15" t="inlineStr">
        <is>
          <t>Enter</t>
        </is>
      </c>
      <c r="B7" s="4" t="inlineStr">
        <is>
          <t>לשורה הבאה (במקום חץ למטה)</t>
        </is>
      </c>
      <c r="C7" s="4" t="inlineStr">
        <is>
          <t>במצב Enter גם קולט את ההקלדה.</t>
        </is>
      </c>
    </row>
    <row r="8" ht="21.5" customHeight="1">
      <c r="A8" s="16" t="inlineStr">
        <is>
          <t>Shift+Enter</t>
        </is>
      </c>
      <c r="B8" s="11" t="inlineStr">
        <is>
          <t>לשורה הקודמת (במקום חץ למעלה)</t>
        </is>
      </c>
      <c r="C8" s="11" t="inlineStr"/>
    </row>
    <row r="9" ht="21.5" customHeight="1">
      <c r="A9" s="15" t="inlineStr">
        <is>
          <t>ESC</t>
        </is>
      </c>
      <c r="B9" s="4" t="inlineStr">
        <is>
          <t>מבטל הקלדה ומחזיר את התא למצבו הקודם</t>
        </is>
      </c>
      <c r="C9" s="4" t="inlineStr">
        <is>
          <t>ב-Enter וב-Edit.</t>
        </is>
      </c>
    </row>
    <row r="10" ht="37" customHeight="1">
      <c r="A10" s="16" t="inlineStr">
        <is>
          <t>Ctrl+Shift+↓</t>
        </is>
      </c>
      <c r="B10" s="11" t="inlineStr">
        <is>
          <t>מסמן עד סוף הנתונים בעמודה</t>
        </is>
      </c>
      <c r="C10" s="11" t="inlineStr">
        <is>
          <t>נעצר בתא הריק הראשון. לוחצים שוב כדי להמשיך.</t>
        </is>
      </c>
    </row>
    <row r="11" ht="21.5" customHeight="1">
      <c r="A11" s="15" t="inlineStr">
        <is>
          <t>Ctrl+↓</t>
        </is>
      </c>
      <c r="B11" s="4" t="inlineStr">
        <is>
          <t>קופץ לסוף הנתונים, בלי לסמן</t>
        </is>
      </c>
      <c r="C11" s="4" t="inlineStr">
        <is>
          <t>בלי Shift.</t>
        </is>
      </c>
    </row>
    <row r="12" ht="21.5" customHeight="1">
      <c r="A12" s="16" t="inlineStr">
        <is>
          <t>Ctrl+Shift++</t>
        </is>
      </c>
      <c r="B12" s="11" t="inlineStr">
        <is>
          <t>הוספת שורה או עמודה (אחרי סימון)</t>
        </is>
      </c>
      <c r="C12" s="11" t="inlineStr">
        <is>
          <t>במק: Cmd.</t>
        </is>
      </c>
    </row>
    <row r="13" ht="21.5" customHeight="1">
      <c r="A13" s="15" t="inlineStr">
        <is>
          <t>Ctrl+-</t>
        </is>
      </c>
      <c r="B13" s="4" t="inlineStr">
        <is>
          <t>מחיקת שורה או עמודה מסומנת</t>
        </is>
      </c>
      <c r="C13" s="4" t="inlineStr">
        <is>
          <t>במק: Cmd+-. מקש Delete רק מנקה תוכן.</t>
        </is>
      </c>
    </row>
    <row r="14" ht="37" customHeight="1">
      <c r="A14" s="16" t="inlineStr">
        <is>
          <t>דאבל קליק על גבול עמודה</t>
        </is>
      </c>
      <c r="B14" s="11" t="inlineStr">
        <is>
          <t>התאמה אוטומטית של הרוחב לתוכן</t>
        </is>
      </c>
      <c r="C14" s="11" t="inlineStr">
        <is>
          <t>אפשר לסמן כמה עמודות קודם.</t>
        </is>
      </c>
    </row>
  </sheetData>
  <mergeCells count="2">
    <mergeCell ref="A1:C1"/>
    <mergeCell ref="A2:C2"/>
  </mergeCells>
  <printOptions horizontalCentered="1"/>
  <pageMargins left="0.75" right="0.75" top="1" bottom="1" header="0.5" footer="0.5"/>
  <pageSetup orientation="landscape" fitToHeight="0" fitToWidth="1"/>
</worksheet>
</file>

<file path=xl/worksheets/sheet6.xml><?xml version="1.0" encoding="utf-8"?>
<worksheet xmlns="http://schemas.openxmlformats.org/spreadsheetml/2006/main">
  <sheetPr>
    <tabColor rgb="00107C41"/>
    <outlinePr summaryBelow="1" summaryRight="1"/>
    <pageSetUpPr fitToPage="1"/>
  </sheetPr>
  <dimension ref="A1:G61"/>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22" customWidth="1" min="2" max="2"/>
    <col width="18" customWidth="1" min="3" max="3"/>
    <col width="18" customWidth="1" min="4" max="4"/>
    <col width="22" customWidth="1" min="5" max="5"/>
    <col width="22" customWidth="1" min="6" max="6"/>
    <col width="34" customWidth="1" min="7" max="7"/>
  </cols>
  <sheetData>
    <row r="1" ht="34" customHeight="1">
      <c r="A1" s="1" t="inlineStr">
        <is>
          <t>נוסחאות חיות</t>
        </is>
      </c>
    </row>
    <row r="2" ht="22" customHeight="1">
      <c r="A2" s="2" t="inlineStr">
        <is>
          <t>הטבלאות מהמפגש, עם נוסחאות אמיתיות. שנו מספר בתא הכחול והתוצאה הירוקה תתעדכן</t>
        </is>
      </c>
    </row>
    <row r="4">
      <c r="A4" s="17" t="inlineStr">
        <is>
          <t>מקרא:</t>
        </is>
      </c>
      <c r="B4" s="18" t="inlineStr">
        <is>
          <t>נתון שאפשר לשנות</t>
        </is>
      </c>
      <c r="C4" s="19" t="inlineStr">
        <is>
          <t>תוצאת נוסחה</t>
        </is>
      </c>
    </row>
    <row r="6" ht="26" customHeight="1">
      <c r="A6" s="20" t="inlineStr">
        <is>
          <t>נוסחה פשוטה עם הפניות: עלות כוללת</t>
        </is>
      </c>
    </row>
    <row r="7" ht="22" customHeight="1">
      <c r="A7" s="21" t="inlineStr">
        <is>
          <t>עלות כוללת היא המחיר לא כולל משלוח בתוספת עלות המשלוח. הנוסחה מפנה לתאים של אותה שורה, ולכן אפשר לגרור אותה למטה.</t>
        </is>
      </c>
    </row>
    <row r="8" ht="34" customHeight="1">
      <c r="A8" s="22" t="inlineStr">
        <is>
          <t>מוצר</t>
        </is>
      </c>
      <c r="B8" s="22" t="inlineStr">
        <is>
          <t>מחיר לא כולל משלוח</t>
        </is>
      </c>
      <c r="C8" s="22" t="inlineStr">
        <is>
          <t>עלות משלוח</t>
        </is>
      </c>
      <c r="D8" s="22" t="inlineStr">
        <is>
          <t>עלות כוללת</t>
        </is>
      </c>
      <c r="E8" s="22" t="inlineStr">
        <is>
          <t>הנוסחה שבתא התוצאה</t>
        </is>
      </c>
    </row>
    <row r="9" ht="21" customHeight="1">
      <c r="A9" s="23" t="inlineStr">
        <is>
          <t>מקלדת</t>
        </is>
      </c>
      <c r="B9" s="24" t="n">
        <v>50</v>
      </c>
      <c r="C9" s="24" t="n">
        <v>14</v>
      </c>
      <c r="D9" s="25">
        <f>B9+C9</f>
        <v/>
      </c>
      <c r="E9" s="26" t="inlineStr">
        <is>
          <t>=B9+C9</t>
        </is>
      </c>
    </row>
    <row r="10" ht="21" customHeight="1">
      <c r="A10" s="23" t="inlineStr">
        <is>
          <t>עכבר</t>
        </is>
      </c>
      <c r="B10" s="24" t="n">
        <v>80</v>
      </c>
      <c r="C10" s="24" t="n">
        <v>19</v>
      </c>
      <c r="D10" s="25">
        <f>B10+C10</f>
        <v/>
      </c>
      <c r="E10" s="26" t="inlineStr">
        <is>
          <t>=B10+C10</t>
        </is>
      </c>
    </row>
    <row r="11" ht="21" customHeight="1">
      <c r="A11" s="23" t="inlineStr">
        <is>
          <t>מסך</t>
        </is>
      </c>
      <c r="B11" s="24" t="n">
        <v>120</v>
      </c>
      <c r="C11" s="24" t="n">
        <v>23</v>
      </c>
      <c r="D11" s="25">
        <f>B11+C11</f>
        <v/>
      </c>
      <c r="E11" s="26" t="inlineStr">
        <is>
          <t>=B11+C11</t>
        </is>
      </c>
    </row>
    <row r="12" ht="21" customHeight="1">
      <c r="A12" s="23" t="inlineStr">
        <is>
          <t>מצלמה</t>
        </is>
      </c>
      <c r="B12" s="24" t="n">
        <v>140</v>
      </c>
      <c r="C12" s="24" t="n">
        <v>57</v>
      </c>
      <c r="D12" s="25">
        <f>B12+C12</f>
        <v/>
      </c>
      <c r="E12" s="26" t="inlineStr">
        <is>
          <t>=B12+C12</t>
        </is>
      </c>
    </row>
    <row r="13" ht="21" customHeight="1">
      <c r="A13" s="23" t="inlineStr">
        <is>
          <t>כבל</t>
        </is>
      </c>
      <c r="B13" s="24" t="n">
        <v>10</v>
      </c>
      <c r="C13" s="24" t="n">
        <v>3</v>
      </c>
      <c r="D13" s="25">
        <f>B13+C13</f>
        <v/>
      </c>
      <c r="E13" s="26" t="inlineStr">
        <is>
          <t>=B13+C13</t>
        </is>
      </c>
    </row>
    <row r="16" ht="26" customHeight="1">
      <c r="A16" s="20" t="inlineStr">
        <is>
          <t>תוספת באחוזים: מחיר × (1 + שיעור)</t>
        </is>
      </c>
    </row>
    <row r="17" ht="38" customHeight="1">
      <c r="A17" s="21" t="inlineStr">
        <is>
          <t>מחיר עם תוספת הוא המחיר כפול אחד ועוד השיעור. הכפל בשיעור בלבד נותן רק את סכום התוספת. בשורה האחרונה השיעור הוא 0%, והמחיר לא משתנה.</t>
        </is>
      </c>
    </row>
    <row r="18" ht="34" customHeight="1">
      <c r="A18" s="22" t="inlineStr">
        <is>
          <t>פריט</t>
        </is>
      </c>
      <c r="B18" s="22" t="inlineStr">
        <is>
          <t>מחיר לפני התייקרות</t>
        </is>
      </c>
      <c r="C18" s="22" t="inlineStr">
        <is>
          <t>שיעור ההתייקרות</t>
        </is>
      </c>
      <c r="D18" s="22" t="inlineStr">
        <is>
          <t>מחיר סופי</t>
        </is>
      </c>
      <c r="E18" s="22" t="inlineStr">
        <is>
          <t>הנוסחה שבתא התוצאה</t>
        </is>
      </c>
    </row>
    <row r="19" ht="21" customHeight="1">
      <c r="A19" s="23" t="inlineStr">
        <is>
          <t>בקבוק</t>
        </is>
      </c>
      <c r="B19" s="24" t="n">
        <v>50</v>
      </c>
      <c r="C19" s="27" t="n">
        <v>0.1</v>
      </c>
      <c r="D19" s="25">
        <f>B19*(1+C19)</f>
        <v/>
      </c>
      <c r="E19" s="26" t="inlineStr">
        <is>
          <t>=B19*(1+C19)</t>
        </is>
      </c>
    </row>
    <row r="20" ht="21" customHeight="1">
      <c r="A20" s="23" t="inlineStr">
        <is>
          <t>קרואסון</t>
        </is>
      </c>
      <c r="B20" s="24" t="n">
        <v>40</v>
      </c>
      <c r="C20" s="27" t="n">
        <v>0.05</v>
      </c>
      <c r="D20" s="25">
        <f>B20*(1+C20)</f>
        <v/>
      </c>
      <c r="E20" s="26" t="inlineStr">
        <is>
          <t>=B20*(1+C20)</t>
        </is>
      </c>
    </row>
    <row r="21" ht="21" customHeight="1">
      <c r="A21" s="23" t="inlineStr">
        <is>
          <t>אבטיח</t>
        </is>
      </c>
      <c r="B21" s="24" t="n">
        <v>200</v>
      </c>
      <c r="C21" s="27" t="n">
        <v>0.15</v>
      </c>
      <c r="D21" s="25">
        <f>B21*(1+C21)</f>
        <v/>
      </c>
      <c r="E21" s="26" t="inlineStr">
        <is>
          <t>=B21*(1+C21)</t>
        </is>
      </c>
    </row>
    <row r="22" ht="21" customHeight="1">
      <c r="A22" s="23" t="inlineStr">
        <is>
          <t>שטיח</t>
        </is>
      </c>
      <c r="B22" s="24" t="n">
        <v>500</v>
      </c>
      <c r="C22" s="27" t="n">
        <v>0</v>
      </c>
      <c r="D22" s="25">
        <f>B22*(1+C22)</f>
        <v/>
      </c>
      <c r="E22" s="26" t="inlineStr">
        <is>
          <t>=B22*(1+C22)</t>
        </is>
      </c>
    </row>
    <row r="25" ht="26" customHeight="1">
      <c r="A25" s="20" t="inlineStr">
        <is>
          <t>מע״מ: מחיר כולל מע״מ</t>
        </is>
      </c>
    </row>
    <row r="26" ht="38" customHeight="1">
      <c r="A26" s="21" t="inlineStr">
        <is>
          <t>מחיר כולל מע״מ הוא מחיר × (1 + שיעור המע״מ). לגמבה שיעור המע״מ הוא 0%, ולכן אסור להקליד 18% בתוך הנוסחה: ההפניה לתא היא שמביאה לכל מוצר את השיעור שלו.</t>
        </is>
      </c>
    </row>
    <row r="27" ht="34" customHeight="1">
      <c r="A27" s="22" t="inlineStr">
        <is>
          <t>מק״ט</t>
        </is>
      </c>
      <c r="B27" s="22" t="inlineStr">
        <is>
          <t>שם הפריט</t>
        </is>
      </c>
      <c r="C27" s="22" t="inlineStr">
        <is>
          <t>מחיר</t>
        </is>
      </c>
      <c r="D27" s="22" t="inlineStr">
        <is>
          <t>שיעור המע״מ</t>
        </is>
      </c>
      <c r="E27" s="22" t="inlineStr">
        <is>
          <t>מחיר כולל מע״מ</t>
        </is>
      </c>
      <c r="F27" s="22" t="inlineStr">
        <is>
          <t>הנוסחה שבתא התוצאה</t>
        </is>
      </c>
    </row>
    <row r="28" ht="21" customHeight="1">
      <c r="A28" s="24" t="n">
        <v>1</v>
      </c>
      <c r="B28" s="23" t="inlineStr">
        <is>
          <t>ספר</t>
        </is>
      </c>
      <c r="C28" s="24" t="n">
        <v>20</v>
      </c>
      <c r="D28" s="27" t="n">
        <v>0.18</v>
      </c>
      <c r="E28" s="25">
        <f>C28*(1+D28)</f>
        <v/>
      </c>
      <c r="F28" s="26" t="inlineStr">
        <is>
          <t>=C28*(1+D28)</t>
        </is>
      </c>
    </row>
    <row r="29" ht="21" customHeight="1">
      <c r="A29" s="24" t="n">
        <v>2</v>
      </c>
      <c r="B29" s="23" t="inlineStr">
        <is>
          <t>מחשב נייד</t>
        </is>
      </c>
      <c r="C29" s="24" t="n">
        <v>2000</v>
      </c>
      <c r="D29" s="27" t="n">
        <v>0.18</v>
      </c>
      <c r="E29" s="25">
        <f>C29*(1+D29)</f>
        <v/>
      </c>
      <c r="F29" s="26" t="inlineStr">
        <is>
          <t>=C29*(1+D29)</t>
        </is>
      </c>
    </row>
    <row r="30" ht="21" customHeight="1">
      <c r="A30" s="24" t="n">
        <v>3</v>
      </c>
      <c r="B30" s="23" t="inlineStr">
        <is>
          <t>כסא</t>
        </is>
      </c>
      <c r="C30" s="24" t="n">
        <v>70</v>
      </c>
      <c r="D30" s="27" t="n">
        <v>0.18</v>
      </c>
      <c r="E30" s="25">
        <f>C30*(1+D30)</f>
        <v/>
      </c>
      <c r="F30" s="26" t="inlineStr">
        <is>
          <t>=C30*(1+D30)</t>
        </is>
      </c>
    </row>
    <row r="31" ht="21" customHeight="1">
      <c r="A31" s="24" t="n">
        <v>4</v>
      </c>
      <c r="B31" s="23" t="inlineStr">
        <is>
          <t>גמבה</t>
        </is>
      </c>
      <c r="C31" s="24" t="n">
        <v>10</v>
      </c>
      <c r="D31" s="27" t="n">
        <v>0</v>
      </c>
      <c r="E31" s="25">
        <f>C31*(1+D31)</f>
        <v/>
      </c>
      <c r="F31" s="26" t="inlineStr">
        <is>
          <t>=C31*(1+D31)</t>
        </is>
      </c>
    </row>
    <row r="32" ht="21" customHeight="1">
      <c r="A32" s="24" t="n">
        <v>5</v>
      </c>
      <c r="B32" s="23" t="inlineStr">
        <is>
          <t>שטיח</t>
        </is>
      </c>
      <c r="C32" s="24" t="n">
        <v>900</v>
      </c>
      <c r="D32" s="27" t="n">
        <v>0.18</v>
      </c>
      <c r="E32" s="25">
        <f>C32*(1+D32)</f>
        <v/>
      </c>
      <c r="F32" s="26" t="inlineStr">
        <is>
          <t>=C32*(1+D32)</t>
        </is>
      </c>
    </row>
    <row r="35" ht="26" customHeight="1">
      <c r="A35" s="20" t="inlineStr">
        <is>
          <t>הנחה באחוזים: מחיר × (1 - שיעור)</t>
        </is>
      </c>
    </row>
    <row r="36" ht="22" customHeight="1">
      <c r="A36" s="21" t="inlineStr">
        <is>
          <t>מחיר אחרי הנחה הוא מחיר הבסיס כפול אחד פחות שיעור ההנחה. לכל מוצר שיעור הנחה משלו, ולכן ההפניה לתא חייבת להישאר בנוסחה.</t>
        </is>
      </c>
    </row>
    <row r="37" ht="34" customHeight="1">
      <c r="A37" s="22" t="inlineStr">
        <is>
          <t>מק״ט</t>
        </is>
      </c>
      <c r="B37" s="22" t="inlineStr">
        <is>
          <t>פריט</t>
        </is>
      </c>
      <c r="C37" s="22" t="inlineStr">
        <is>
          <t>מחיר בסיס</t>
        </is>
      </c>
      <c r="D37" s="22" t="inlineStr">
        <is>
          <t>שיעור הנחה</t>
        </is>
      </c>
      <c r="E37" s="22" t="inlineStr">
        <is>
          <t>מחיר סופי</t>
        </is>
      </c>
      <c r="F37" s="22" t="inlineStr">
        <is>
          <t>הנוסחה שבתא התוצאה</t>
        </is>
      </c>
    </row>
    <row r="38" ht="21" customHeight="1">
      <c r="A38" s="24" t="n">
        <v>1</v>
      </c>
      <c r="B38" s="23" t="inlineStr">
        <is>
          <t>גרעיני אבטיח</t>
        </is>
      </c>
      <c r="C38" s="24" t="n">
        <v>80</v>
      </c>
      <c r="D38" s="27" t="n">
        <v>0.15</v>
      </c>
      <c r="E38" s="25">
        <f>C38*(1-D38)</f>
        <v/>
      </c>
      <c r="F38" s="26" t="inlineStr">
        <is>
          <t>=C38*(1-D38)</t>
        </is>
      </c>
    </row>
    <row r="39" ht="21" customHeight="1">
      <c r="A39" s="24" t="n">
        <v>2</v>
      </c>
      <c r="B39" s="23" t="inlineStr">
        <is>
          <t>ערמונים</t>
        </is>
      </c>
      <c r="C39" s="24" t="n">
        <v>90</v>
      </c>
      <c r="D39" s="27" t="n">
        <v>0.1</v>
      </c>
      <c r="E39" s="25">
        <f>C39*(1-D39)</f>
        <v/>
      </c>
      <c r="F39" s="26" t="inlineStr">
        <is>
          <t>=C39*(1-D39)</t>
        </is>
      </c>
    </row>
    <row r="40" ht="21" customHeight="1">
      <c r="A40" s="24" t="n">
        <v>3</v>
      </c>
      <c r="B40" s="23" t="inlineStr">
        <is>
          <t>שעועית</t>
        </is>
      </c>
      <c r="C40" s="24" t="n">
        <v>30</v>
      </c>
      <c r="D40" s="27" t="n">
        <v>0</v>
      </c>
      <c r="E40" s="25">
        <f>C40*(1-D40)</f>
        <v/>
      </c>
      <c r="F40" s="26" t="inlineStr">
        <is>
          <t>=C40*(1-D40)</t>
        </is>
      </c>
    </row>
    <row r="41" ht="21" customHeight="1">
      <c r="A41" s="24" t="n">
        <v>4</v>
      </c>
      <c r="B41" s="23" t="inlineStr">
        <is>
          <t>תורמוס</t>
        </is>
      </c>
      <c r="C41" s="24" t="n">
        <v>20</v>
      </c>
      <c r="D41" s="27" t="n">
        <v>0.05</v>
      </c>
      <c r="E41" s="25">
        <f>C41*(1-D41)</f>
        <v/>
      </c>
      <c r="F41" s="26" t="inlineStr">
        <is>
          <t>=C41*(1-D41)</t>
        </is>
      </c>
    </row>
    <row r="42" ht="21" customHeight="1">
      <c r="A42" s="24" t="n">
        <v>5</v>
      </c>
      <c r="B42" s="23" t="inlineStr">
        <is>
          <t>עלי גפן</t>
        </is>
      </c>
      <c r="C42" s="24" t="n">
        <v>150</v>
      </c>
      <c r="D42" s="27" t="n">
        <v>0.2</v>
      </c>
      <c r="E42" s="25">
        <f>C42*(1-D42)</f>
        <v/>
      </c>
      <c r="F42" s="26" t="inlineStr">
        <is>
          <t>=C42*(1-D42)</t>
        </is>
      </c>
    </row>
    <row r="45" ht="26" customHeight="1">
      <c r="A45" s="20" t="inlineStr">
        <is>
          <t>בונוס: שכר אחרי בונוס</t>
        </is>
      </c>
    </row>
    <row r="46" ht="22" customHeight="1">
      <c r="A46" s="21" t="inlineStr">
        <is>
          <t>שכר אחרי בונוס הוא שכר × (1 + שיעור הבונוס). לכל עובד שיעור בונוס משלו.</t>
        </is>
      </c>
    </row>
    <row r="47" ht="34" customHeight="1">
      <c r="A47" s="22" t="inlineStr">
        <is>
          <t>שם</t>
        </is>
      </c>
      <c r="B47" s="22" t="inlineStr">
        <is>
          <t>תפקיד</t>
        </is>
      </c>
      <c r="C47" s="22" t="inlineStr">
        <is>
          <t>שכר חודשי</t>
        </is>
      </c>
      <c r="D47" s="22" t="inlineStr">
        <is>
          <t>בונוס</t>
        </is>
      </c>
      <c r="E47" s="22" t="inlineStr">
        <is>
          <t>שכר אחרי בונוס</t>
        </is>
      </c>
      <c r="F47" s="22" t="inlineStr">
        <is>
          <t>הנוסחה שבתא התוצאה</t>
        </is>
      </c>
    </row>
    <row r="48" ht="21" customHeight="1">
      <c r="A48" s="23" t="inlineStr">
        <is>
          <t>מור</t>
        </is>
      </c>
      <c r="B48" s="23" t="inlineStr">
        <is>
          <t>מנהלת</t>
        </is>
      </c>
      <c r="C48" s="24" t="n">
        <v>10000</v>
      </c>
      <c r="D48" s="27" t="n">
        <v>0.05</v>
      </c>
      <c r="E48" s="25">
        <f>C48*(1+D48)</f>
        <v/>
      </c>
      <c r="F48" s="26" t="inlineStr">
        <is>
          <t>=C48*(1+D48)</t>
        </is>
      </c>
    </row>
    <row r="49" ht="21" customHeight="1">
      <c r="A49" s="23" t="inlineStr">
        <is>
          <t>אורי</t>
        </is>
      </c>
      <c r="B49" s="23" t="inlineStr">
        <is>
          <t>מלצר</t>
        </is>
      </c>
      <c r="C49" s="24" t="n">
        <v>6000</v>
      </c>
      <c r="D49" s="27" t="n">
        <v>0.1</v>
      </c>
      <c r="E49" s="25">
        <f>C49*(1+D49)</f>
        <v/>
      </c>
      <c r="F49" s="26" t="inlineStr">
        <is>
          <t>=C49*(1+D49)</t>
        </is>
      </c>
    </row>
    <row r="50" ht="21" customHeight="1">
      <c r="A50" s="23" t="inlineStr">
        <is>
          <t>דנה</t>
        </is>
      </c>
      <c r="B50" s="23" t="inlineStr">
        <is>
          <t>אופה</t>
        </is>
      </c>
      <c r="C50" s="24" t="n">
        <v>8000</v>
      </c>
      <c r="D50" s="27" t="n">
        <v>0.08</v>
      </c>
      <c r="E50" s="25">
        <f>C50*(1+D50)</f>
        <v/>
      </c>
      <c r="F50" s="26" t="inlineStr">
        <is>
          <t>=C50*(1+D50)</t>
        </is>
      </c>
    </row>
    <row r="51" ht="21" customHeight="1">
      <c r="A51" s="23" t="inlineStr">
        <is>
          <t>רז</t>
        </is>
      </c>
      <c r="B51" s="23" t="inlineStr">
        <is>
          <t>קופאי</t>
        </is>
      </c>
      <c r="C51" s="24" t="n">
        <v>5000</v>
      </c>
      <c r="D51" s="27" t="n">
        <v>0</v>
      </c>
      <c r="E51" s="25">
        <f>C51*(1+D51)</f>
        <v/>
      </c>
      <c r="F51" s="26" t="inlineStr">
        <is>
          <t>=C51*(1+D51)</t>
        </is>
      </c>
    </row>
    <row r="54" ht="26" customHeight="1">
      <c r="A54" s="20" t="inlineStr">
        <is>
          <t>כל חישוב מתחיל ב-= : ציונים</t>
        </is>
      </c>
    </row>
    <row r="55" ht="22" customHeight="1">
      <c r="A55" s="21" t="inlineStr">
        <is>
          <t>הנוסחה מפנה לתא הציון ומוסיפה 5 נקודות, או מגדילה את הציון ב-10%. בלי סימן = היה מוצג הטקסט עצמו.</t>
        </is>
      </c>
    </row>
    <row r="56" ht="34" customHeight="1">
      <c r="A56" s="22" t="inlineStr">
        <is>
          <t>שם הסטודנט</t>
        </is>
      </c>
      <c r="B56" s="22" t="inlineStr">
        <is>
          <t>תחביב</t>
        </is>
      </c>
      <c r="C56" s="22" t="inlineStr">
        <is>
          <t>גיל</t>
        </is>
      </c>
      <c r="D56" s="22" t="inlineStr">
        <is>
          <t>ציון</t>
        </is>
      </c>
      <c r="E56" s="22" t="inlineStr">
        <is>
          <t>ציון ועוד 5</t>
        </is>
      </c>
      <c r="F56" s="22" t="inlineStr">
        <is>
          <t>ציון ועוד 10%</t>
        </is>
      </c>
      <c r="G56" s="22" t="inlineStr">
        <is>
          <t>הנוסחה שבתא התוצאה</t>
        </is>
      </c>
    </row>
    <row r="57" ht="21" customHeight="1">
      <c r="A57" s="23" t="inlineStr">
        <is>
          <t>נועה</t>
        </is>
      </c>
      <c r="B57" s="23" t="inlineStr">
        <is>
          <t>פיסול</t>
        </is>
      </c>
      <c r="C57" s="24" t="n">
        <v>19</v>
      </c>
      <c r="D57" s="24" t="n">
        <v>50</v>
      </c>
      <c r="E57" s="25">
        <f>D57+5</f>
        <v/>
      </c>
      <c r="F57" s="25">
        <f>D57*1.1</f>
        <v/>
      </c>
      <c r="G57" s="26" t="inlineStr">
        <is>
          <t>=D57+5    =D57*1.1</t>
        </is>
      </c>
    </row>
    <row r="58" ht="21" customHeight="1">
      <c r="A58" s="23" t="inlineStr">
        <is>
          <t>אבנר</t>
        </is>
      </c>
      <c r="B58" s="23" t="inlineStr">
        <is>
          <t>צניחה</t>
        </is>
      </c>
      <c r="C58" s="24" t="n">
        <v>23</v>
      </c>
      <c r="D58" s="24" t="n">
        <v>90</v>
      </c>
      <c r="E58" s="25">
        <f>D58+5</f>
        <v/>
      </c>
      <c r="F58" s="25">
        <f>D58*1.1</f>
        <v/>
      </c>
      <c r="G58" s="26" t="inlineStr">
        <is>
          <t>=D58+5    =D58*1.1</t>
        </is>
      </c>
    </row>
    <row r="59" ht="21" customHeight="1">
      <c r="A59" s="23" t="inlineStr">
        <is>
          <t>קוקי</t>
        </is>
      </c>
      <c r="B59" s="23" t="inlineStr">
        <is>
          <t>ספינינג</t>
        </is>
      </c>
      <c r="C59" s="24" t="n">
        <v>24</v>
      </c>
      <c r="D59" s="24" t="n">
        <v>94</v>
      </c>
      <c r="E59" s="25">
        <f>D59+5</f>
        <v/>
      </c>
      <c r="F59" s="25">
        <f>D59*1.1</f>
        <v/>
      </c>
      <c r="G59" s="26" t="inlineStr">
        <is>
          <t>=D59+5    =D59*1.1</t>
        </is>
      </c>
    </row>
    <row r="60" ht="21" customHeight="1">
      <c r="A60" s="23" t="inlineStr">
        <is>
          <t>סבטה</t>
        </is>
      </c>
      <c r="B60" s="23" t="inlineStr">
        <is>
          <t>בישול</t>
        </is>
      </c>
      <c r="C60" s="24" t="n">
        <v>18</v>
      </c>
      <c r="D60" s="24" t="n">
        <v>40</v>
      </c>
      <c r="E60" s="25">
        <f>D60+5</f>
        <v/>
      </c>
      <c r="F60" s="25">
        <f>D60*1.1</f>
        <v/>
      </c>
      <c r="G60" s="26" t="inlineStr">
        <is>
          <t>=D60+5    =D60*1.1</t>
        </is>
      </c>
    </row>
    <row r="61" ht="21" customHeight="1">
      <c r="A61" s="23" t="inlineStr">
        <is>
          <t>יבגני</t>
        </is>
      </c>
      <c r="B61" s="23" t="inlineStr">
        <is>
          <t>קרמיקה</t>
        </is>
      </c>
      <c r="C61" s="24" t="n">
        <v>22</v>
      </c>
      <c r="D61" s="24" t="n">
        <v>80</v>
      </c>
      <c r="E61" s="25">
        <f>D61+5</f>
        <v/>
      </c>
      <c r="F61" s="25">
        <f>D61*1.1</f>
        <v/>
      </c>
      <c r="G61" s="26" t="inlineStr">
        <is>
          <t>=D61+5    =D61*1.1</t>
        </is>
      </c>
    </row>
  </sheetData>
  <mergeCells count="14">
    <mergeCell ref="A36:G36"/>
    <mergeCell ref="A1:G1"/>
    <mergeCell ref="A17:G17"/>
    <mergeCell ref="A6:G6"/>
    <mergeCell ref="A55:G55"/>
    <mergeCell ref="A35:G35"/>
    <mergeCell ref="A26:G26"/>
    <mergeCell ref="A2:G2"/>
    <mergeCell ref="A16:G16"/>
    <mergeCell ref="A54:G54"/>
    <mergeCell ref="A7:G7"/>
    <mergeCell ref="A25:G25"/>
    <mergeCell ref="A45:G45"/>
    <mergeCell ref="A46:G46"/>
  </mergeCells>
  <printOptions horizontalCentered="1"/>
  <pageMargins left="0.75" right="0.75" top="1" bottom="1" header="0.5" footer="0.5"/>
  <pageSetup orientation="landscape" fitToHeight="0" fitToWidth="1"/>
</worksheet>
</file>

<file path=xl/worksheets/sheet7.xml><?xml version="1.0" encoding="utf-8"?>
<worksheet xmlns="http://schemas.openxmlformats.org/spreadsheetml/2006/main">
  <sheetPr>
    <tabColor rgb="00B3262F"/>
    <outlinePr summaryBelow="1" summaryRight="1"/>
    <pageSetUpPr fitToPage="1"/>
  </sheetPr>
  <dimension ref="A1:G344"/>
  <sheetViews>
    <sheetView showGridLines="0" rightToLeft="1" workbookViewId="0">
      <selection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s>
  <sheetData>
    <row r="1" ht="34" customHeight="1">
      <c r="A1" s="1" t="inlineStr">
        <is>
          <t>שאלות ופתרונות</t>
        </is>
      </c>
    </row>
    <row r="2" ht="22" customHeight="1">
      <c r="A2" s="2" t="inlineStr">
        <is>
          <t>18 שאלות אמריקאיות בסגנון מבחן. התשובה הנכונה מסומנת בירוק, ומתחתיה הנימוק לכל טענה</t>
        </is>
      </c>
    </row>
    <row r="4" ht="26" customHeight="1">
      <c r="A4" s="28" t="inlineStr">
        <is>
          <t>שאלה 1 · כתובת תא</t>
        </is>
      </c>
    </row>
    <row r="5" ht="22" customHeight="1">
      <c r="A5" s="29" t="inlineStr">
        <is>
          <t>השאלה</t>
        </is>
      </c>
      <c r="B5" s="13" t="inlineStr">
        <is>
          <t>לפניכם מספר טענות:</t>
        </is>
      </c>
      <c r="C5" s="30" t="n"/>
      <c r="D5" s="30" t="n"/>
      <c r="E5" s="30" t="n"/>
      <c r="F5" s="30" t="n"/>
      <c r="G5" s="30" t="n"/>
    </row>
    <row r="6" ht="22" customHeight="1">
      <c r="A6" s="31" t="inlineStr">
        <is>
          <t>טענה 1</t>
        </is>
      </c>
      <c r="B6" s="4" t="inlineStr">
        <is>
          <t>כתובת של תא ב-Excel מורכבת מאות העמודה ואחריה מספר השורה, כגון D12</t>
        </is>
      </c>
      <c r="C6" s="30" t="n"/>
      <c r="D6" s="30" t="n"/>
      <c r="E6" s="30" t="n"/>
      <c r="F6" s="30" t="n"/>
      <c r="G6" s="30" t="n"/>
    </row>
    <row r="7" ht="22" customHeight="1">
      <c r="A7" s="31" t="inlineStr">
        <is>
          <t>טענה 2</t>
        </is>
      </c>
      <c r="B7" s="4" t="inlineStr">
        <is>
          <t>הצירוף 12D הוא דרך חלופית ותקינה לכתיבת הכתובת של אותו התא</t>
        </is>
      </c>
      <c r="C7" s="30" t="n"/>
      <c r="D7" s="30" t="n"/>
      <c r="E7" s="30" t="n"/>
      <c r="F7" s="30" t="n"/>
      <c r="G7" s="30" t="n"/>
    </row>
    <row r="8" ht="38" customHeight="1">
      <c r="A8" s="31" t="inlineStr">
        <is>
          <t>טענה 3</t>
        </is>
      </c>
      <c r="B8" s="4" t="inlineStr">
        <is>
          <t>גם בגיליון בפריסה עברית (מימין לשמאל), שבו עמודה A מופיעה בצד הימני של המסך, כתובת התא נכתבת עם אות העמודה לפני מספר השורה, כגון A1</t>
        </is>
      </c>
      <c r="C8" s="30" t="n"/>
      <c r="D8" s="30" t="n"/>
      <c r="E8" s="30" t="n"/>
      <c r="F8" s="30" t="n"/>
      <c r="G8" s="30" t="n"/>
    </row>
    <row r="9" ht="22" customHeight="1">
      <c r="A9" s="31" t="inlineStr">
        <is>
          <t>ההנחיה</t>
        </is>
      </c>
      <c r="B9" s="32" t="inlineStr">
        <is>
          <t>הטענה / הטענות הנכונה / הנכונות:</t>
        </is>
      </c>
      <c r="C9" s="30" t="n"/>
      <c r="D9" s="30" t="n"/>
      <c r="E9" s="30" t="n"/>
      <c r="F9" s="30" t="n"/>
      <c r="G9" s="30" t="n"/>
    </row>
    <row r="10" ht="22" customHeight="1">
      <c r="A10" s="31" t="inlineStr">
        <is>
          <t>א</t>
        </is>
      </c>
      <c r="B10" s="33" t="inlineStr">
        <is>
          <t>טענה 1 בלבד</t>
        </is>
      </c>
      <c r="C10" s="30" t="n"/>
      <c r="D10" s="30" t="n"/>
      <c r="E10" s="30" t="n"/>
      <c r="F10" s="30" t="n"/>
      <c r="G10" s="30" t="n"/>
    </row>
    <row r="11" ht="22" customHeight="1">
      <c r="A11" s="34" t="inlineStr">
        <is>
          <t>ב</t>
        </is>
      </c>
      <c r="B11" s="35" t="inlineStr">
        <is>
          <t>טענות 1 ו-3   ✓ התשובה הנכונה</t>
        </is>
      </c>
      <c r="C11" s="36" t="n"/>
      <c r="D11" s="36" t="n"/>
      <c r="E11" s="36" t="n"/>
      <c r="F11" s="36" t="n"/>
      <c r="G11" s="36" t="n"/>
    </row>
    <row r="12" ht="22" customHeight="1">
      <c r="A12" s="31" t="inlineStr">
        <is>
          <t>ג</t>
        </is>
      </c>
      <c r="B12" s="33" t="inlineStr">
        <is>
          <t>טענות 2 ו-3</t>
        </is>
      </c>
      <c r="C12" s="30" t="n"/>
      <c r="D12" s="30" t="n"/>
      <c r="E12" s="30" t="n"/>
      <c r="F12" s="30" t="n"/>
      <c r="G12" s="30" t="n"/>
    </row>
    <row r="13" ht="22" customHeight="1">
      <c r="A13" s="31" t="inlineStr">
        <is>
          <t>ד</t>
        </is>
      </c>
      <c r="B13" s="33" t="inlineStr">
        <is>
          <t>כל הטענות נכונות</t>
        </is>
      </c>
      <c r="C13" s="30" t="n"/>
      <c r="D13" s="30" t="n"/>
      <c r="E13" s="30" t="n"/>
      <c r="F13" s="30" t="n"/>
      <c r="G13" s="30" t="n"/>
    </row>
    <row r="14" ht="22" customHeight="1">
      <c r="A14" s="31" t="inlineStr">
        <is>
          <t>ה</t>
        </is>
      </c>
      <c r="B14" s="33" t="inlineStr">
        <is>
          <t>כל הטענות שגויות</t>
        </is>
      </c>
      <c r="C14" s="30" t="n"/>
      <c r="D14" s="30" t="n"/>
      <c r="E14" s="30" t="n"/>
      <c r="F14" s="30" t="n"/>
      <c r="G14" s="30" t="n"/>
    </row>
    <row r="15" ht="22" customHeight="1">
      <c r="A15" s="37" t="inlineStr">
        <is>
          <t>טענה 1</t>
        </is>
      </c>
      <c r="B15" s="38" t="inlineStr">
        <is>
          <t>נכונה</t>
        </is>
      </c>
      <c r="C15" s="4" t="inlineStr">
        <is>
          <t>זו בדיוק ההגדרה: האות מייצגת את העמודה, המספר את השורה.</t>
        </is>
      </c>
      <c r="D15" s="30" t="n"/>
      <c r="E15" s="30" t="n"/>
      <c r="F15" s="30" t="n"/>
      <c r="G15" s="30" t="n"/>
    </row>
    <row r="16" ht="38" customHeight="1">
      <c r="A16" s="37" t="inlineStr">
        <is>
          <t>טענה 2</t>
        </is>
      </c>
      <c r="B16" s="39" t="inlineStr">
        <is>
          <t>שגויה</t>
        </is>
      </c>
      <c r="C16" s="4" t="inlineStr">
        <is>
          <t>הסדר מחייב: אות העמודה תמיד לפני (משמאל ל) מספר השורה. 12D אינה כתובת תקינה.</t>
        </is>
      </c>
      <c r="D16" s="30" t="n"/>
      <c r="E16" s="30" t="n"/>
      <c r="F16" s="30" t="n"/>
      <c r="G16" s="30" t="n"/>
    </row>
    <row r="17" ht="38" customHeight="1">
      <c r="A17" s="37" t="inlineStr">
        <is>
          <t>טענה 3</t>
        </is>
      </c>
      <c r="B17" s="38" t="inlineStr">
        <is>
          <t>נכונה</t>
        </is>
      </c>
      <c r="C17" s="4" t="inlineStr">
        <is>
          <t>פריסת הגיליון משנה את התצוגה בלבד (A מימין). אופן כתיבת הכתובת לא משתנה.</t>
        </is>
      </c>
      <c r="D17" s="30" t="n"/>
      <c r="E17" s="30" t="n"/>
      <c r="F17" s="30" t="n"/>
      <c r="G17" s="30" t="n"/>
    </row>
    <row r="18" ht="22" customHeight="1">
      <c r="A18" s="40" t="inlineStr">
        <is>
          <t>מה נבחן</t>
        </is>
      </c>
      <c r="B18" s="41" t="inlineStr">
        <is>
          <t>הגדרת כתובת תא, ובלבול נפוץ בין פריסה עברית לסדר הכתיבה.</t>
        </is>
      </c>
      <c r="C18" s="42" t="n"/>
      <c r="D18" s="42" t="n"/>
      <c r="E18" s="42" t="n"/>
      <c r="F18" s="42" t="n"/>
      <c r="G18" s="42" t="n"/>
    </row>
    <row r="19" ht="22" customHeight="1">
      <c r="A19" s="43" t="inlineStr">
        <is>
          <t>טיפ</t>
        </is>
      </c>
      <c r="B19" s="44" t="inlineStr">
        <is>
          <t>כשרואים כתובת כמו 18C בשאלה, זו כמעט תמיד המלכודת.</t>
        </is>
      </c>
      <c r="C19" s="45" t="n"/>
      <c r="D19" s="45" t="n"/>
      <c r="E19" s="45" t="n"/>
      <c r="F19" s="45" t="n"/>
      <c r="G19" s="45" t="n"/>
    </row>
    <row r="21" ht="26" customHeight="1">
      <c r="A21" s="28" t="inlineStr">
        <is>
          <t>שאלה 2 · שורה ועמודה</t>
        </is>
      </c>
    </row>
    <row r="22" ht="22" customHeight="1">
      <c r="A22" s="29" t="inlineStr">
        <is>
          <t>השאלה</t>
        </is>
      </c>
      <c r="B22" s="13" t="inlineStr">
        <is>
          <t>לפניכם מספר טענות:</t>
        </is>
      </c>
      <c r="C22" s="30" t="n"/>
      <c r="D22" s="30" t="n"/>
      <c r="E22" s="30" t="n"/>
      <c r="F22" s="30" t="n"/>
      <c r="G22" s="30" t="n"/>
    </row>
    <row r="23" ht="22" customHeight="1">
      <c r="A23" s="31" t="inlineStr">
        <is>
          <t>טענה 1</t>
        </is>
      </c>
      <c r="B23" s="4" t="inlineStr">
        <is>
          <t>עמודה ב-Excel היא רצף תאים המסודר אופקית לאורך הגיליון</t>
        </is>
      </c>
      <c r="C23" s="30" t="n"/>
      <c r="D23" s="30" t="n"/>
      <c r="E23" s="30" t="n"/>
      <c r="F23" s="30" t="n"/>
      <c r="G23" s="30" t="n"/>
    </row>
    <row r="24" ht="22" customHeight="1">
      <c r="A24" s="31" t="inlineStr">
        <is>
          <t>טענה 2</t>
        </is>
      </c>
      <c r="B24" s="4" t="inlineStr">
        <is>
          <t>לחיצה על מספר של שורה מסוימת מסמנת את כל התאים באותה השורה</t>
        </is>
      </c>
      <c r="C24" s="30" t="n"/>
      <c r="D24" s="30" t="n"/>
      <c r="E24" s="30" t="n"/>
      <c r="F24" s="30" t="n"/>
      <c r="G24" s="30" t="n"/>
    </row>
    <row r="25" ht="22" customHeight="1">
      <c r="A25" s="31" t="inlineStr">
        <is>
          <t>טענה 3</t>
        </is>
      </c>
      <c r="B25" s="4" t="inlineStr">
        <is>
          <t>בטבלת נתונים, העמודות נקראות גם ״שדות״, והשורות נקראות גם ״רשומות״</t>
        </is>
      </c>
      <c r="C25" s="30" t="n"/>
      <c r="D25" s="30" t="n"/>
      <c r="E25" s="30" t="n"/>
      <c r="F25" s="30" t="n"/>
      <c r="G25" s="30" t="n"/>
    </row>
    <row r="26" ht="22" customHeight="1">
      <c r="A26" s="31" t="inlineStr">
        <is>
          <t>ההנחיה</t>
        </is>
      </c>
      <c r="B26" s="32" t="inlineStr">
        <is>
          <t>הטענה / הטענות הנכונה / הנכונות:</t>
        </is>
      </c>
      <c r="C26" s="30" t="n"/>
      <c r="D26" s="30" t="n"/>
      <c r="E26" s="30" t="n"/>
      <c r="F26" s="30" t="n"/>
      <c r="G26" s="30" t="n"/>
    </row>
    <row r="27" ht="22" customHeight="1">
      <c r="A27" s="31" t="inlineStr">
        <is>
          <t>א</t>
        </is>
      </c>
      <c r="B27" s="33" t="inlineStr">
        <is>
          <t>טענה 2 בלבד</t>
        </is>
      </c>
      <c r="C27" s="30" t="n"/>
      <c r="D27" s="30" t="n"/>
      <c r="E27" s="30" t="n"/>
      <c r="F27" s="30" t="n"/>
      <c r="G27" s="30" t="n"/>
    </row>
    <row r="28" ht="22" customHeight="1">
      <c r="A28" s="31" t="inlineStr">
        <is>
          <t>ב</t>
        </is>
      </c>
      <c r="B28" s="33" t="inlineStr">
        <is>
          <t>טענות 1 ו-2</t>
        </is>
      </c>
      <c r="C28" s="30" t="n"/>
      <c r="D28" s="30" t="n"/>
      <c r="E28" s="30" t="n"/>
      <c r="F28" s="30" t="n"/>
      <c r="G28" s="30" t="n"/>
    </row>
    <row r="29" ht="22" customHeight="1">
      <c r="A29" s="34" t="inlineStr">
        <is>
          <t>ג</t>
        </is>
      </c>
      <c r="B29" s="35" t="inlineStr">
        <is>
          <t>טענות 2 ו-3   ✓ התשובה הנכונה</t>
        </is>
      </c>
      <c r="C29" s="36" t="n"/>
      <c r="D29" s="36" t="n"/>
      <c r="E29" s="36" t="n"/>
      <c r="F29" s="36" t="n"/>
      <c r="G29" s="36" t="n"/>
    </row>
    <row r="30" ht="22" customHeight="1">
      <c r="A30" s="31" t="inlineStr">
        <is>
          <t>ד</t>
        </is>
      </c>
      <c r="B30" s="33" t="inlineStr">
        <is>
          <t>טענה 3 בלבד</t>
        </is>
      </c>
      <c r="C30" s="30" t="n"/>
      <c r="D30" s="30" t="n"/>
      <c r="E30" s="30" t="n"/>
      <c r="F30" s="30" t="n"/>
      <c r="G30" s="30" t="n"/>
    </row>
    <row r="31" ht="22" customHeight="1">
      <c r="A31" s="31" t="inlineStr">
        <is>
          <t>ה</t>
        </is>
      </c>
      <c r="B31" s="33" t="inlineStr">
        <is>
          <t>כל הטענות נכונות</t>
        </is>
      </c>
      <c r="C31" s="30" t="n"/>
      <c r="D31" s="30" t="n"/>
      <c r="E31" s="30" t="n"/>
      <c r="F31" s="30" t="n"/>
      <c r="G31" s="30" t="n"/>
    </row>
    <row r="32" ht="22" customHeight="1">
      <c r="A32" s="37" t="inlineStr">
        <is>
          <t>טענה 1</t>
        </is>
      </c>
      <c r="B32" s="39" t="inlineStr">
        <is>
          <t>שגויה</t>
        </is>
      </c>
      <c r="C32" s="4" t="inlineStr">
        <is>
          <t>עמודה היא רצף תאים אנכי (״עמודה = עומד״). הרצף האופקי הוא שורה.</t>
        </is>
      </c>
      <c r="D32" s="30" t="n"/>
      <c r="E32" s="30" t="n"/>
      <c r="F32" s="30" t="n"/>
      <c r="G32" s="30" t="n"/>
    </row>
    <row r="33" ht="38" customHeight="1">
      <c r="A33" s="37" t="inlineStr">
        <is>
          <t>טענה 2</t>
        </is>
      </c>
      <c r="B33" s="38" t="inlineStr">
        <is>
          <t>נכונה</t>
        </is>
      </c>
      <c r="C33" s="4" t="inlineStr">
        <is>
          <t>לחיצה על כותרת השורה (המספר) היא הדרך המהירה לסמן את השורה כולה. כך גם באות של עמודה.</t>
        </is>
      </c>
      <c r="D33" s="30" t="n"/>
      <c r="E33" s="30" t="n"/>
      <c r="F33" s="30" t="n"/>
      <c r="G33" s="30" t="n"/>
    </row>
    <row r="34" ht="22" customHeight="1">
      <c r="A34" s="37" t="inlineStr">
        <is>
          <t>טענה 3</t>
        </is>
      </c>
      <c r="B34" s="38" t="inlineStr">
        <is>
          <t>נכונה</t>
        </is>
      </c>
      <c r="C34" s="4" t="inlineStr">
        <is>
          <t>לפי ההגדרות שבמפגש: עמודות = שדות, שורות = רשומות.</t>
        </is>
      </c>
      <c r="D34" s="30" t="n"/>
      <c r="E34" s="30" t="n"/>
      <c r="F34" s="30" t="n"/>
      <c r="G34" s="30" t="n"/>
    </row>
    <row r="35" ht="22" customHeight="1">
      <c r="A35" s="40" t="inlineStr">
        <is>
          <t>מה נבחן</t>
        </is>
      </c>
      <c r="B35" s="41" t="inlineStr">
        <is>
          <t>ההבחנה בין אנכי לאופקי, וסימון שורה או עמודה שלמה.</t>
        </is>
      </c>
      <c r="C35" s="42" t="n"/>
      <c r="D35" s="42" t="n"/>
      <c r="E35" s="42" t="n"/>
      <c r="F35" s="42" t="n"/>
      <c r="G35" s="42" t="n"/>
    </row>
    <row r="36" ht="22" customHeight="1">
      <c r="A36" s="43" t="inlineStr">
        <is>
          <t>טיפ</t>
        </is>
      </c>
      <c r="B36" s="44" t="inlineStr">
        <is>
          <t>מילה אחת (״אופקית״ במקום ״אנכית״) הופכת טענה לשגויה.</t>
        </is>
      </c>
      <c r="C36" s="45" t="n"/>
      <c r="D36" s="45" t="n"/>
      <c r="E36" s="45" t="n"/>
      <c r="F36" s="45" t="n"/>
      <c r="G36" s="45" t="n"/>
    </row>
    <row r="38" ht="26" customHeight="1">
      <c r="A38" s="28" t="inlineStr">
        <is>
          <t>שאלה 3 · Workbook</t>
        </is>
      </c>
    </row>
    <row r="39" ht="38" customHeight="1">
      <c r="A39" s="29" t="inlineStr">
        <is>
          <t>השאלה</t>
        </is>
      </c>
      <c r="B39" s="13" t="inlineStr">
        <is>
          <t>מאיה ביקשה מיוסי: ״תשלח לי במייל את כל קובץ ה-Excel שבו סיכמת את השיעור, עם כל הגיליונות שבו״. במילים מקצועיות, מאיה ביקשה מיוסי את:</t>
        </is>
      </c>
      <c r="C39" s="30" t="n"/>
      <c r="D39" s="30" t="n"/>
      <c r="E39" s="30" t="n"/>
      <c r="F39" s="30" t="n"/>
      <c r="G39" s="30" t="n"/>
    </row>
    <row r="40" ht="22" customHeight="1">
      <c r="A40" s="31" t="inlineStr">
        <is>
          <t>א</t>
        </is>
      </c>
      <c r="B40" s="33" t="inlineStr">
        <is>
          <t>גיליון העבודה (Sheet) של יוסי</t>
        </is>
      </c>
      <c r="C40" s="30" t="n"/>
      <c r="D40" s="30" t="n"/>
      <c r="E40" s="30" t="n"/>
      <c r="F40" s="30" t="n"/>
      <c r="G40" s="30" t="n"/>
    </row>
    <row r="41" ht="22" customHeight="1">
      <c r="A41" s="34" t="inlineStr">
        <is>
          <t>ב</t>
        </is>
      </c>
      <c r="B41" s="35" t="inlineStr">
        <is>
          <t>חוברת העבודה (Workbook) של יוסי   ✓ התשובה הנכונה</t>
        </is>
      </c>
      <c r="C41" s="36" t="n"/>
      <c r="D41" s="36" t="n"/>
      <c r="E41" s="36" t="n"/>
      <c r="F41" s="36" t="n"/>
      <c r="G41" s="36" t="n"/>
    </row>
    <row r="42" ht="22" customHeight="1">
      <c r="A42" s="31" t="inlineStr">
        <is>
          <t>ג</t>
        </is>
      </c>
      <c r="B42" s="33" t="inlineStr">
        <is>
          <t>התא הפעיל של יוסי</t>
        </is>
      </c>
      <c r="C42" s="30" t="n"/>
      <c r="D42" s="30" t="n"/>
      <c r="E42" s="30" t="n"/>
      <c r="F42" s="30" t="n"/>
      <c r="G42" s="30" t="n"/>
    </row>
    <row r="43" ht="22" customHeight="1">
      <c r="A43" s="31" t="inlineStr">
        <is>
          <t>ד</t>
        </is>
      </c>
      <c r="B43" s="33" t="inlineStr">
        <is>
          <t>השורה הראשונה בגיליון של יוסי</t>
        </is>
      </c>
      <c r="C43" s="30" t="n"/>
      <c r="D43" s="30" t="n"/>
      <c r="E43" s="30" t="n"/>
      <c r="F43" s="30" t="n"/>
      <c r="G43" s="30" t="n"/>
    </row>
    <row r="44" ht="22" customHeight="1">
      <c r="A44" s="31" t="inlineStr">
        <is>
          <t>ה</t>
        </is>
      </c>
      <c r="B44" s="33" t="inlineStr">
        <is>
          <t>כל יתר התשובות שגויות</t>
        </is>
      </c>
      <c r="C44" s="30" t="n"/>
      <c r="D44" s="30" t="n"/>
      <c r="E44" s="30" t="n"/>
      <c r="F44" s="30" t="n"/>
      <c r="G44" s="30" t="n"/>
    </row>
    <row r="45" ht="22" customHeight="1">
      <c r="A45" s="37" t="inlineStr">
        <is>
          <t>בדיקה</t>
        </is>
      </c>
      <c r="B45" s="4" t="inlineStr">
        <is>
          <t>א: גיליון הוא מרחב עבודה אחד בתוך הקובץ, לא הקובץ כולו.</t>
        </is>
      </c>
      <c r="C45" s="30" t="n"/>
      <c r="D45" s="30" t="n"/>
      <c r="E45" s="30" t="n"/>
      <c r="F45" s="30" t="n"/>
      <c r="G45" s="30" t="n"/>
    </row>
    <row r="46" ht="22" customHeight="1">
      <c r="A46" s="37" t="inlineStr">
        <is>
          <t>בדיקה</t>
        </is>
      </c>
      <c r="B46" s="4" t="inlineStr">
        <is>
          <t>ב: נכונה. קובץ Excel שלם, על כל הגיליונות שבו, הוא חוברת עבודה (Workbook).</t>
        </is>
      </c>
      <c r="C46" s="30" t="n"/>
      <c r="D46" s="30" t="n"/>
      <c r="E46" s="30" t="n"/>
      <c r="F46" s="30" t="n"/>
      <c r="G46" s="30" t="n"/>
    </row>
    <row r="47" ht="22" customHeight="1">
      <c r="A47" s="37" t="inlineStr">
        <is>
          <t>בדיקה</t>
        </is>
      </c>
      <c r="B47" s="4" t="inlineStr">
        <is>
          <t>ג, ד: תא ושורה הם חלקים קטנים בתוך גיליון.</t>
        </is>
      </c>
      <c r="C47" s="30" t="n"/>
      <c r="D47" s="30" t="n"/>
      <c r="E47" s="30" t="n"/>
      <c r="F47" s="30" t="n"/>
      <c r="G47" s="30" t="n"/>
    </row>
    <row r="48" ht="22" customHeight="1">
      <c r="A48" s="37" t="inlineStr">
        <is>
          <t>בדיקה</t>
        </is>
      </c>
      <c r="B48" s="4" t="inlineStr">
        <is>
          <t>ה: נפסלת, כי ב נכונה.</t>
        </is>
      </c>
      <c r="C48" s="30" t="n"/>
      <c r="D48" s="30" t="n"/>
      <c r="E48" s="30" t="n"/>
      <c r="F48" s="30" t="n"/>
      <c r="G48" s="30" t="n"/>
    </row>
    <row r="49" ht="22" customHeight="1">
      <c r="A49" s="40" t="inlineStr">
        <is>
          <t>מה נבחן</t>
        </is>
      </c>
      <c r="B49" s="41" t="inlineStr">
        <is>
          <t>המונח המקצועי לקובץ Excel שלם.</t>
        </is>
      </c>
      <c r="C49" s="42" t="n"/>
      <c r="D49" s="42" t="n"/>
      <c r="E49" s="42" t="n"/>
      <c r="F49" s="42" t="n"/>
      <c r="G49" s="42" t="n"/>
    </row>
    <row r="50" ht="22" customHeight="1">
      <c r="A50" s="43" t="inlineStr">
        <is>
          <t>טיפ</t>
        </is>
      </c>
      <c r="B50" s="44" t="inlineStr">
        <is>
          <t>״קובץ שלם״ = Workbook. ״מרחב עבודה בתוך הקובץ״ = Sheet.</t>
        </is>
      </c>
      <c r="C50" s="45" t="n"/>
      <c r="D50" s="45" t="n"/>
      <c r="E50" s="45" t="n"/>
      <c r="F50" s="45" t="n"/>
      <c r="G50" s="45" t="n"/>
    </row>
    <row r="52" ht="26" customHeight="1">
      <c r="A52" s="28" t="inlineStr">
        <is>
          <t>שאלה 4 · Workbook ו-Sheet</t>
        </is>
      </c>
    </row>
    <row r="53" ht="22" customHeight="1">
      <c r="A53" s="29" t="inlineStr">
        <is>
          <t>השאלה</t>
        </is>
      </c>
      <c r="B53" s="13" t="inlineStr">
        <is>
          <t>לפניכם מספר טענות:</t>
        </is>
      </c>
      <c r="C53" s="30" t="n"/>
      <c r="D53" s="30" t="n"/>
      <c r="E53" s="30" t="n"/>
      <c r="F53" s="30" t="n"/>
      <c r="G53" s="30" t="n"/>
    </row>
    <row r="54" ht="22" customHeight="1">
      <c r="A54" s="31" t="inlineStr">
        <is>
          <t>טענה 1</t>
        </is>
      </c>
      <c r="B54" s="4" t="inlineStr">
        <is>
          <t>כדי לקבל מרחב עבודה חדש ונקי, בתוך קובץ Excel קיים, יש להוסיף לקובץ גיליון (Sheet) חדש</t>
        </is>
      </c>
      <c r="C54" s="30" t="n"/>
      <c r="D54" s="30" t="n"/>
      <c r="E54" s="30" t="n"/>
      <c r="F54" s="30" t="n"/>
      <c r="G54" s="30" t="n"/>
    </row>
    <row r="55" ht="22" customHeight="1">
      <c r="A55" s="31" t="inlineStr">
        <is>
          <t>טענה 2</t>
        </is>
      </c>
      <c r="B55" s="4" t="inlineStr">
        <is>
          <t>כאשר פותחים קובץ Excel חדש, נוצר בו לפחות גיליון אחד, גם בלי שהמשתמש הוסיף גיליון</t>
        </is>
      </c>
      <c r="C55" s="30" t="n"/>
      <c r="D55" s="30" t="n"/>
      <c r="E55" s="30" t="n"/>
      <c r="F55" s="30" t="n"/>
      <c r="G55" s="30" t="n"/>
    </row>
    <row r="56" ht="22" customHeight="1">
      <c r="A56" s="31" t="inlineStr">
        <is>
          <t>טענה 3</t>
        </is>
      </c>
      <c r="B56" s="4" t="inlineStr">
        <is>
          <t>המונחים ״גיליון״ (Sheet) ו״חוברת עבודה״ (Workbook) מתארים את אותו הדבר בדיוק</t>
        </is>
      </c>
      <c r="C56" s="30" t="n"/>
      <c r="D56" s="30" t="n"/>
      <c r="E56" s="30" t="n"/>
      <c r="F56" s="30" t="n"/>
      <c r="G56" s="30" t="n"/>
    </row>
    <row r="57" ht="22" customHeight="1">
      <c r="A57" s="31" t="inlineStr">
        <is>
          <t>ההנחיה</t>
        </is>
      </c>
      <c r="B57" s="32" t="inlineStr">
        <is>
          <t>הטענה / הטענות הנכונה / הנכונות:</t>
        </is>
      </c>
      <c r="C57" s="30" t="n"/>
      <c r="D57" s="30" t="n"/>
      <c r="E57" s="30" t="n"/>
      <c r="F57" s="30" t="n"/>
      <c r="G57" s="30" t="n"/>
    </row>
    <row r="58" ht="22" customHeight="1">
      <c r="A58" s="31" t="inlineStr">
        <is>
          <t>א</t>
        </is>
      </c>
      <c r="B58" s="33" t="inlineStr">
        <is>
          <t>כל הטענות נכונות</t>
        </is>
      </c>
      <c r="C58" s="30" t="n"/>
      <c r="D58" s="30" t="n"/>
      <c r="E58" s="30" t="n"/>
      <c r="F58" s="30" t="n"/>
      <c r="G58" s="30" t="n"/>
    </row>
    <row r="59" ht="22" customHeight="1">
      <c r="A59" s="34" t="inlineStr">
        <is>
          <t>ב</t>
        </is>
      </c>
      <c r="B59" s="35" t="inlineStr">
        <is>
          <t>טענות 1 ו-2   ✓ התשובה הנכונה</t>
        </is>
      </c>
      <c r="C59" s="36" t="n"/>
      <c r="D59" s="36" t="n"/>
      <c r="E59" s="36" t="n"/>
      <c r="F59" s="36" t="n"/>
      <c r="G59" s="36" t="n"/>
    </row>
    <row r="60" ht="22" customHeight="1">
      <c r="A60" s="31" t="inlineStr">
        <is>
          <t>ג</t>
        </is>
      </c>
      <c r="B60" s="33" t="inlineStr">
        <is>
          <t>טענה 1 בלבד</t>
        </is>
      </c>
      <c r="C60" s="30" t="n"/>
      <c r="D60" s="30" t="n"/>
      <c r="E60" s="30" t="n"/>
      <c r="F60" s="30" t="n"/>
      <c r="G60" s="30" t="n"/>
    </row>
    <row r="61" ht="22" customHeight="1">
      <c r="A61" s="31" t="inlineStr">
        <is>
          <t>ד</t>
        </is>
      </c>
      <c r="B61" s="33" t="inlineStr">
        <is>
          <t>טענות 2 ו-3</t>
        </is>
      </c>
      <c r="C61" s="30" t="n"/>
      <c r="D61" s="30" t="n"/>
      <c r="E61" s="30" t="n"/>
      <c r="F61" s="30" t="n"/>
      <c r="G61" s="30" t="n"/>
    </row>
    <row r="62" ht="22" customHeight="1">
      <c r="A62" s="31" t="inlineStr">
        <is>
          <t>ה</t>
        </is>
      </c>
      <c r="B62" s="33" t="inlineStr">
        <is>
          <t>טענה 3 בלבד</t>
        </is>
      </c>
      <c r="C62" s="30" t="n"/>
      <c r="D62" s="30" t="n"/>
      <c r="E62" s="30" t="n"/>
      <c r="F62" s="30" t="n"/>
      <c r="G62" s="30" t="n"/>
    </row>
    <row r="63" ht="22" customHeight="1">
      <c r="A63" s="37" t="inlineStr">
        <is>
          <t>טענה 1</t>
        </is>
      </c>
      <c r="B63" s="38" t="inlineStr">
        <is>
          <t>נכונה</t>
        </is>
      </c>
      <c r="C63" s="4" t="inlineStr">
        <is>
          <t>זה בדיוק הרעיון בגיליון: הפרדה בין נושאים באותו קובץ.</t>
        </is>
      </c>
      <c r="D63" s="30" t="n"/>
      <c r="E63" s="30" t="n"/>
      <c r="F63" s="30" t="n"/>
      <c r="G63" s="30" t="n"/>
    </row>
    <row r="64" ht="22" customHeight="1">
      <c r="A64" s="37" t="inlineStr">
        <is>
          <t>טענה 2</t>
        </is>
      </c>
      <c r="B64" s="38" t="inlineStr">
        <is>
          <t>נכונה</t>
        </is>
      </c>
      <c r="C64" s="4" t="inlineStr">
        <is>
          <t>קובץ Excel תמיד נפתח עם גיליון אחד לפחות.</t>
        </is>
      </c>
      <c r="D64" s="30" t="n"/>
      <c r="E64" s="30" t="n"/>
      <c r="F64" s="30" t="n"/>
      <c r="G64" s="30" t="n"/>
    </row>
    <row r="65" ht="38" customHeight="1">
      <c r="A65" s="37" t="inlineStr">
        <is>
          <t>טענה 3</t>
        </is>
      </c>
      <c r="B65" s="39" t="inlineStr">
        <is>
          <t>שגויה</t>
        </is>
      </c>
      <c r="C65" s="4" t="inlineStr">
        <is>
          <t>Sheet הוא גיליון אחד. Workbook הוא הקובץ כולו, שיכול להכיל גיליונות רבים.</t>
        </is>
      </c>
      <c r="D65" s="30" t="n"/>
      <c r="E65" s="30" t="n"/>
      <c r="F65" s="30" t="n"/>
      <c r="G65" s="30" t="n"/>
    </row>
    <row r="66" ht="22" customHeight="1">
      <c r="A66" s="40" t="inlineStr">
        <is>
          <t>מה נבחן</t>
        </is>
      </c>
      <c r="B66" s="41" t="inlineStr">
        <is>
          <t>היחס בין קובץ לגיליון.</t>
        </is>
      </c>
      <c r="C66" s="42" t="n"/>
      <c r="D66" s="42" t="n"/>
      <c r="E66" s="42" t="n"/>
      <c r="F66" s="42" t="n"/>
      <c r="G66" s="42" t="n"/>
    </row>
    <row r="67" ht="22" customHeight="1">
      <c r="A67" s="43" t="inlineStr">
        <is>
          <t>טיפ</t>
        </is>
      </c>
      <c r="B67" s="44" t="inlineStr">
        <is>
          <t>״One Workbook, many Sheets״.</t>
        </is>
      </c>
      <c r="C67" s="45" t="n"/>
      <c r="D67" s="45" t="n"/>
      <c r="E67" s="45" t="n"/>
      <c r="F67" s="45" t="n"/>
      <c r="G67" s="45" t="n"/>
    </row>
    <row r="69" ht="26" customHeight="1">
      <c r="A69" s="28" t="inlineStr">
        <is>
          <t>שאלה 5 · Excel מול Word</t>
        </is>
      </c>
    </row>
    <row r="70" ht="22" customHeight="1">
      <c r="A70" s="29" t="inlineStr">
        <is>
          <t>השאלה</t>
        </is>
      </c>
      <c r="B70" s="13" t="inlineStr">
        <is>
          <t>לפניכם מספר טענות:</t>
        </is>
      </c>
      <c r="C70" s="30" t="n"/>
      <c r="D70" s="30" t="n"/>
      <c r="E70" s="30" t="n"/>
      <c r="F70" s="30" t="n"/>
      <c r="G70" s="30" t="n"/>
    </row>
    <row r="71" ht="22" customHeight="1">
      <c r="A71" s="31" t="inlineStr">
        <is>
          <t>טענה 1</t>
        </is>
      </c>
      <c r="B71" s="4" t="inlineStr">
        <is>
          <t>בטבלה של Word, בדיוק כמו ב-Excel, לכל תא יש כתובת המבוססת על אות ומספר</t>
        </is>
      </c>
      <c r="C71" s="30" t="n"/>
      <c r="D71" s="30" t="n"/>
      <c r="E71" s="30" t="n"/>
      <c r="F71" s="30" t="n"/>
      <c r="G71" s="30" t="n"/>
    </row>
    <row r="72" ht="38" customHeight="1">
      <c r="A72" s="31" t="inlineStr">
        <is>
          <t>טענה 2</t>
        </is>
      </c>
      <c r="B72" s="4" t="inlineStr">
        <is>
          <t>ב-Excel ניתן לקשר בין תאים באמצעות נוסחה, כך שאם ערך באחד מתאי המקור ישתנה, התוצאה המחושבת תתעדכן מעצמה</t>
        </is>
      </c>
      <c r="C72" s="30" t="n"/>
      <c r="D72" s="30" t="n"/>
      <c r="E72" s="30" t="n"/>
      <c r="F72" s="30" t="n"/>
      <c r="G72" s="30" t="n"/>
    </row>
    <row r="73" ht="22" customHeight="1">
      <c r="A73" s="31" t="inlineStr">
        <is>
          <t>טענה 3</t>
        </is>
      </c>
      <c r="B73" s="4" t="inlineStr">
        <is>
          <t>גיליון Excel מוגבל ל-20,000 תאים לכל היותר</t>
        </is>
      </c>
      <c r="C73" s="30" t="n"/>
      <c r="D73" s="30" t="n"/>
      <c r="E73" s="30" t="n"/>
      <c r="F73" s="30" t="n"/>
      <c r="G73" s="30" t="n"/>
    </row>
    <row r="74" ht="22" customHeight="1">
      <c r="A74" s="31" t="inlineStr">
        <is>
          <t>ההנחיה</t>
        </is>
      </c>
      <c r="B74" s="32" t="inlineStr">
        <is>
          <t>הטענה / הטענות הנכונה / הנכונות:</t>
        </is>
      </c>
      <c r="C74" s="30" t="n"/>
      <c r="D74" s="30" t="n"/>
      <c r="E74" s="30" t="n"/>
      <c r="F74" s="30" t="n"/>
      <c r="G74" s="30" t="n"/>
    </row>
    <row r="75" ht="22" customHeight="1">
      <c r="A75" s="31" t="inlineStr">
        <is>
          <t>א</t>
        </is>
      </c>
      <c r="B75" s="33" t="inlineStr">
        <is>
          <t>טענה 1 בלבד</t>
        </is>
      </c>
      <c r="C75" s="30" t="n"/>
      <c r="D75" s="30" t="n"/>
      <c r="E75" s="30" t="n"/>
      <c r="F75" s="30" t="n"/>
      <c r="G75" s="30" t="n"/>
    </row>
    <row r="76" ht="22" customHeight="1">
      <c r="A76" s="31" t="inlineStr">
        <is>
          <t>ב</t>
        </is>
      </c>
      <c r="B76" s="33" t="inlineStr">
        <is>
          <t>טענות 1 ו-2</t>
        </is>
      </c>
      <c r="C76" s="30" t="n"/>
      <c r="D76" s="30" t="n"/>
      <c r="E76" s="30" t="n"/>
      <c r="F76" s="30" t="n"/>
      <c r="G76" s="30" t="n"/>
    </row>
    <row r="77" ht="22" customHeight="1">
      <c r="A77" s="31" t="inlineStr">
        <is>
          <t>ג</t>
        </is>
      </c>
      <c r="B77" s="33" t="inlineStr">
        <is>
          <t>טענות 2 ו-3</t>
        </is>
      </c>
      <c r="C77" s="30" t="n"/>
      <c r="D77" s="30" t="n"/>
      <c r="E77" s="30" t="n"/>
      <c r="F77" s="30" t="n"/>
      <c r="G77" s="30" t="n"/>
    </row>
    <row r="78" ht="22" customHeight="1">
      <c r="A78" s="34" t="inlineStr">
        <is>
          <t>ד</t>
        </is>
      </c>
      <c r="B78" s="35" t="inlineStr">
        <is>
          <t>טענה 2 בלבד   ✓ התשובה הנכונה</t>
        </is>
      </c>
      <c r="C78" s="36" t="n"/>
      <c r="D78" s="36" t="n"/>
      <c r="E78" s="36" t="n"/>
      <c r="F78" s="36" t="n"/>
      <c r="G78" s="36" t="n"/>
    </row>
    <row r="79" ht="22" customHeight="1">
      <c r="A79" s="31" t="inlineStr">
        <is>
          <t>ה</t>
        </is>
      </c>
      <c r="B79" s="33" t="inlineStr">
        <is>
          <t>כל הטענות שגויות</t>
        </is>
      </c>
      <c r="C79" s="30" t="n"/>
      <c r="D79" s="30" t="n"/>
      <c r="E79" s="30" t="n"/>
      <c r="F79" s="30" t="n"/>
      <c r="G79" s="30" t="n"/>
    </row>
    <row r="80" ht="22" customHeight="1">
      <c r="A80" s="37" t="inlineStr">
        <is>
          <t>טענה 1</t>
        </is>
      </c>
      <c r="B80" s="39" t="inlineStr">
        <is>
          <t>שגויה</t>
        </is>
      </c>
      <c r="C80" s="4" t="inlineStr">
        <is>
          <t>ב-Word הטבלה היא טקסט ותצוגה. אין כתובות לתאים ואין חישוב על הערכים.</t>
        </is>
      </c>
      <c r="D80" s="30" t="n"/>
      <c r="E80" s="30" t="n"/>
      <c r="F80" s="30" t="n"/>
      <c r="G80" s="30" t="n"/>
    </row>
    <row r="81" ht="22" customHeight="1">
      <c r="A81" s="37" t="inlineStr">
        <is>
          <t>טענה 2</t>
        </is>
      </c>
      <c r="B81" s="38" t="inlineStr">
        <is>
          <t>נכונה</t>
        </is>
      </c>
      <c r="C81" s="4" t="inlineStr">
        <is>
          <t>זה היתרון המרכזי: הנוסחה מפנה לתאים, ולכן מתעדכנת כשהנתונים משתנים.</t>
        </is>
      </c>
      <c r="D81" s="30" t="n"/>
      <c r="E81" s="30" t="n"/>
      <c r="F81" s="30" t="n"/>
      <c r="G81" s="30" t="n"/>
    </row>
    <row r="82" ht="22" customHeight="1">
      <c r="A82" s="37" t="inlineStr">
        <is>
          <t>טענה 3</t>
        </is>
      </c>
      <c r="B82" s="39" t="inlineStr">
        <is>
          <t>שגויה</t>
        </is>
      </c>
      <c r="C82" s="4" t="inlineStr">
        <is>
          <t>גיליון Excel מכיל הרבה יותר. ואין צורך לזכור את המספר המדויק לבחינה.</t>
        </is>
      </c>
      <c r="D82" s="30" t="n"/>
      <c r="E82" s="30" t="n"/>
      <c r="F82" s="30" t="n"/>
      <c r="G82" s="30" t="n"/>
    </row>
    <row r="83" ht="22" customHeight="1">
      <c r="A83" s="40" t="inlineStr">
        <is>
          <t>מה נבחן</t>
        </is>
      </c>
      <c r="B83" s="41" t="inlineStr">
        <is>
          <t>מה הופך את Excel לכלי לעיבוד נתונים.</t>
        </is>
      </c>
      <c r="C83" s="42" t="n"/>
      <c r="D83" s="42" t="n"/>
      <c r="E83" s="42" t="n"/>
      <c r="F83" s="42" t="n"/>
      <c r="G83" s="42" t="n"/>
    </row>
    <row r="84" ht="22" customHeight="1">
      <c r="A84" s="43" t="inlineStr">
        <is>
          <t>טיפ</t>
        </is>
      </c>
      <c r="B84" s="44" t="inlineStr">
        <is>
          <t>טענה עם מספר ״מוחלט״ שלא נלמד (כמו 20,000 תאים) כמעט תמיד שגויה.</t>
        </is>
      </c>
      <c r="C84" s="45" t="n"/>
      <c r="D84" s="45" t="n"/>
      <c r="E84" s="45" t="n"/>
      <c r="F84" s="45" t="n"/>
      <c r="G84" s="45" t="n"/>
    </row>
    <row r="86" ht="26" customHeight="1">
      <c r="A86" s="28" t="inlineStr">
        <is>
          <t>שאלה 6 · סימן = והפניה</t>
        </is>
      </c>
    </row>
    <row r="87" ht="22" customHeight="1">
      <c r="A87" s="29" t="inlineStr">
        <is>
          <t>השאלה</t>
        </is>
      </c>
      <c r="B87" s="13" t="inlineStr">
        <is>
          <t>לפניכם נתוני טבלת Excel:</t>
        </is>
      </c>
      <c r="C87" s="30" t="n"/>
      <c r="D87" s="30" t="n"/>
      <c r="E87" s="30" t="n"/>
      <c r="F87" s="30" t="n"/>
      <c r="G87" s="30" t="n"/>
    </row>
    <row r="88">
      <c r="B88" s="46" t="inlineStr">
        <is>
          <t>B</t>
        </is>
      </c>
      <c r="C88" s="46" t="inlineStr">
        <is>
          <t>C</t>
        </is>
      </c>
      <c r="D88" s="46" t="inlineStr">
        <is>
          <t>D</t>
        </is>
      </c>
      <c r="E88" s="46" t="inlineStr">
        <is>
          <t>E</t>
        </is>
      </c>
    </row>
    <row r="89" ht="34" customHeight="1">
      <c r="A89" s="46" t="n">
        <v>30</v>
      </c>
      <c r="B89" s="47" t="inlineStr">
        <is>
          <t>שם הסטודנט</t>
        </is>
      </c>
      <c r="C89" s="47" t="inlineStr">
        <is>
          <t>תחביב</t>
        </is>
      </c>
      <c r="D89" s="47" t="inlineStr">
        <is>
          <t>גיל</t>
        </is>
      </c>
      <c r="E89" s="47" t="inlineStr">
        <is>
          <t>ציון</t>
        </is>
      </c>
    </row>
    <row r="90" ht="21" customHeight="1">
      <c r="A90" s="46" t="n">
        <v>31</v>
      </c>
      <c r="B90" s="23" t="inlineStr">
        <is>
          <t>נועה</t>
        </is>
      </c>
      <c r="C90" s="23" t="inlineStr">
        <is>
          <t>פיסול</t>
        </is>
      </c>
      <c r="D90" s="23" t="n">
        <v>19</v>
      </c>
      <c r="E90" s="23" t="n">
        <v>50</v>
      </c>
    </row>
    <row r="91" ht="21" customHeight="1">
      <c r="A91" s="46" t="n">
        <v>32</v>
      </c>
      <c r="B91" s="23" t="inlineStr">
        <is>
          <t>אבנר</t>
        </is>
      </c>
      <c r="C91" s="23" t="inlineStr">
        <is>
          <t>צניחה</t>
        </is>
      </c>
      <c r="D91" s="23" t="n">
        <v>23</v>
      </c>
      <c r="E91" s="23" t="n">
        <v>90</v>
      </c>
    </row>
    <row r="92" ht="21" customHeight="1">
      <c r="A92" s="46" t="n">
        <v>33</v>
      </c>
      <c r="B92" s="23" t="inlineStr">
        <is>
          <t>קוקי</t>
        </is>
      </c>
      <c r="C92" s="23" t="inlineStr">
        <is>
          <t>ספינינג</t>
        </is>
      </c>
      <c r="D92" s="23" t="n">
        <v>24</v>
      </c>
      <c r="E92" s="23" t="n">
        <v>94</v>
      </c>
    </row>
    <row r="93" ht="21" customHeight="1">
      <c r="A93" s="46" t="n">
        <v>34</v>
      </c>
      <c r="B93" s="23" t="inlineStr">
        <is>
          <t>סבטה</t>
        </is>
      </c>
      <c r="C93" s="23" t="inlineStr">
        <is>
          <t>בישול</t>
        </is>
      </c>
      <c r="D93" s="23" t="n">
        <v>18</v>
      </c>
      <c r="E93" s="23" t="n">
        <v>40</v>
      </c>
    </row>
    <row r="94" ht="21" customHeight="1">
      <c r="A94" s="46" t="n">
        <v>35</v>
      </c>
      <c r="B94" s="23" t="inlineStr">
        <is>
          <t>יבגני</t>
        </is>
      </c>
      <c r="C94" s="23" t="inlineStr">
        <is>
          <t>קרמיקה</t>
        </is>
      </c>
      <c r="D94" s="23" t="n">
        <v>22</v>
      </c>
      <c r="E94" s="23" t="n">
        <v>80</v>
      </c>
    </row>
    <row r="95" ht="22" customHeight="1">
      <c r="A95" s="31" t="inlineStr">
        <is>
          <t>טענה 1</t>
        </is>
      </c>
      <c r="B95" s="4" t="inlineStr">
        <is>
          <t>הנוסחה =E32+5 תציג את הציון של אבנר בתוספת 5 נקודות, כלומר 95</t>
        </is>
      </c>
      <c r="C95" s="30" t="n"/>
      <c r="D95" s="30" t="n"/>
      <c r="E95" s="30" t="n"/>
      <c r="F95" s="30" t="n"/>
      <c r="G95" s="30" t="n"/>
    </row>
    <row r="96" ht="22" customHeight="1">
      <c r="A96" s="31" t="inlineStr">
        <is>
          <t>טענה 2</t>
        </is>
      </c>
      <c r="B96" s="4" t="inlineStr">
        <is>
          <t>הנוסחה =32E*1.1 תגדיל את הציון של קוקי ב-10%</t>
        </is>
      </c>
      <c r="C96" s="30" t="n"/>
      <c r="D96" s="30" t="n"/>
      <c r="E96" s="30" t="n"/>
      <c r="F96" s="30" t="n"/>
      <c r="G96" s="30" t="n"/>
    </row>
    <row r="97" ht="22" customHeight="1">
      <c r="A97" s="31" t="inlineStr">
        <is>
          <t>טענה 3</t>
        </is>
      </c>
      <c r="B97" s="4" t="inlineStr">
        <is>
          <t>רישום הביטוי E31+E35 בתא ריק (ללא סימן =) יציג בתא את סכום הציונים של נועה ויבגני</t>
        </is>
      </c>
      <c r="C97" s="30" t="n"/>
      <c r="D97" s="30" t="n"/>
      <c r="E97" s="30" t="n"/>
      <c r="F97" s="30" t="n"/>
      <c r="G97" s="30" t="n"/>
    </row>
    <row r="98" ht="22" customHeight="1">
      <c r="A98" s="31" t="inlineStr">
        <is>
          <t>ההנחיה</t>
        </is>
      </c>
      <c r="B98" s="32" t="inlineStr">
        <is>
          <t>הטענה / הטענות הנכונה / הנכונות:</t>
        </is>
      </c>
      <c r="C98" s="30" t="n"/>
      <c r="D98" s="30" t="n"/>
      <c r="E98" s="30" t="n"/>
      <c r="F98" s="30" t="n"/>
      <c r="G98" s="30" t="n"/>
    </row>
    <row r="99" ht="22" customHeight="1">
      <c r="A99" s="34" t="inlineStr">
        <is>
          <t>א</t>
        </is>
      </c>
      <c r="B99" s="35" t="inlineStr">
        <is>
          <t>טענה 1 בלבד   ✓ התשובה הנכונה</t>
        </is>
      </c>
      <c r="C99" s="36" t="n"/>
      <c r="D99" s="36" t="n"/>
      <c r="E99" s="36" t="n"/>
      <c r="F99" s="36" t="n"/>
      <c r="G99" s="36" t="n"/>
    </row>
    <row r="100" ht="22" customHeight="1">
      <c r="A100" s="31" t="inlineStr">
        <is>
          <t>ב</t>
        </is>
      </c>
      <c r="B100" s="33" t="inlineStr">
        <is>
          <t>טענות 1 ו-2</t>
        </is>
      </c>
      <c r="C100" s="30" t="n"/>
      <c r="D100" s="30" t="n"/>
      <c r="E100" s="30" t="n"/>
      <c r="F100" s="30" t="n"/>
      <c r="G100" s="30" t="n"/>
    </row>
    <row r="101" ht="22" customHeight="1">
      <c r="A101" s="31" t="inlineStr">
        <is>
          <t>ג</t>
        </is>
      </c>
      <c r="B101" s="33" t="inlineStr">
        <is>
          <t>טענה 2 בלבד</t>
        </is>
      </c>
      <c r="C101" s="30" t="n"/>
      <c r="D101" s="30" t="n"/>
      <c r="E101" s="30" t="n"/>
      <c r="F101" s="30" t="n"/>
      <c r="G101" s="30" t="n"/>
    </row>
    <row r="102" ht="22" customHeight="1">
      <c r="A102" s="31" t="inlineStr">
        <is>
          <t>ד</t>
        </is>
      </c>
      <c r="B102" s="33" t="inlineStr">
        <is>
          <t>טענות 1 ו-3</t>
        </is>
      </c>
      <c r="C102" s="30" t="n"/>
      <c r="D102" s="30" t="n"/>
      <c r="E102" s="30" t="n"/>
      <c r="F102" s="30" t="n"/>
      <c r="G102" s="30" t="n"/>
    </row>
    <row r="103" ht="22" customHeight="1">
      <c r="A103" s="31" t="inlineStr">
        <is>
          <t>ה</t>
        </is>
      </c>
      <c r="B103" s="33" t="inlineStr">
        <is>
          <t>כל הטענות נכונות</t>
        </is>
      </c>
      <c r="C103" s="30" t="n"/>
      <c r="D103" s="30" t="n"/>
      <c r="E103" s="30" t="n"/>
      <c r="F103" s="30" t="n"/>
      <c r="G103" s="30" t="n"/>
    </row>
    <row r="104" ht="38" customHeight="1">
      <c r="A104" s="37" t="inlineStr">
        <is>
          <t>טענה 1</t>
        </is>
      </c>
      <c r="B104" s="38" t="inlineStr">
        <is>
          <t>נכונה</t>
        </is>
      </c>
      <c r="C104" s="4">
        <f>E32 לוקח את הערך בתא E32 (90, הציון של אבנר), ו-5+ מוסיף לו 5. התוצאה 95.</f>
        <v/>
      </c>
      <c r="D104" s="30" t="n"/>
      <c r="E104" s="30" t="n"/>
      <c r="F104" s="30" t="n"/>
      <c r="G104" s="30" t="n"/>
    </row>
    <row r="105" ht="38" customHeight="1">
      <c r="A105" s="37" t="inlineStr">
        <is>
          <t>טענה 2</t>
        </is>
      </c>
      <c r="B105" s="39" t="inlineStr">
        <is>
          <t>שגויה</t>
        </is>
      </c>
      <c r="C105" s="4" t="inlineStr">
        <is>
          <t>שתי בעיות: הכתובת הפוכה (צריך E33 ולא 33E), וגם התא של קוקי הוא E33, לא שורה 32.</t>
        </is>
      </c>
      <c r="D105" s="30" t="n"/>
      <c r="E105" s="30" t="n"/>
      <c r="F105" s="30" t="n"/>
      <c r="G105" s="30" t="n"/>
    </row>
    <row r="106" ht="22" customHeight="1">
      <c r="A106" s="37" t="inlineStr">
        <is>
          <t>טענה 3</t>
        </is>
      </c>
      <c r="B106" s="39" t="inlineStr">
        <is>
          <t>שגויה</t>
        </is>
      </c>
      <c r="C106" s="4" t="inlineStr">
        <is>
          <t>בלי = בהתחלה, Excel מתייחס לביטוי כאל טקסט ומציג אותו כמו שהוא.</t>
        </is>
      </c>
      <c r="D106" s="30" t="n"/>
      <c r="E106" s="30" t="n"/>
      <c r="F106" s="30" t="n"/>
      <c r="G106" s="30" t="n"/>
    </row>
    <row r="107" ht="22" customHeight="1">
      <c r="A107" s="40" t="inlineStr">
        <is>
          <t>מה נבחן</t>
        </is>
      </c>
      <c r="B107" s="41" t="inlineStr">
        <is>
          <t>כל חישוב מתחיל ב-=, וכתובת נכתבת אות ואז מספר.</t>
        </is>
      </c>
      <c r="C107" s="42" t="n"/>
      <c r="D107" s="42" t="n"/>
      <c r="E107" s="42" t="n"/>
      <c r="F107" s="42" t="n"/>
      <c r="G107" s="42" t="n"/>
    </row>
    <row r="108" ht="22" customHeight="1">
      <c r="A108" s="43" t="inlineStr">
        <is>
          <t>טיפ</t>
        </is>
      </c>
      <c r="B108" s="44" t="inlineStr">
        <is>
          <t>בדקו בכל טענה שני דברים: יש = בהתחלה? הכתובת תקינה ומפנה לשורה הנכונה?</t>
        </is>
      </c>
      <c r="C108" s="45" t="n"/>
      <c r="D108" s="45" t="n"/>
      <c r="E108" s="45" t="n"/>
      <c r="F108" s="45" t="n"/>
      <c r="G108" s="45" t="n"/>
    </row>
    <row r="110" ht="26" customHeight="1">
      <c r="A110" s="28" t="inlineStr">
        <is>
          <t>שאלה 7 · נוסחה וגרירה</t>
        </is>
      </c>
    </row>
    <row r="111" ht="22" customHeight="1">
      <c r="A111" s="29" t="inlineStr">
        <is>
          <t>השאלה</t>
        </is>
      </c>
      <c r="B111" s="13" t="inlineStr">
        <is>
          <t>לפניכם נתוני טבלת Excel. עלות כוללת היא המחיר לא כולל משלוח בתוספת עלות המשלוח.</t>
        </is>
      </c>
      <c r="C111" s="30" t="n"/>
      <c r="D111" s="30" t="n"/>
      <c r="E111" s="30" t="n"/>
      <c r="F111" s="30" t="n"/>
      <c r="G111" s="30" t="n"/>
    </row>
    <row r="112">
      <c r="B112" s="46" t="inlineStr">
        <is>
          <t>B</t>
        </is>
      </c>
      <c r="C112" s="46" t="inlineStr">
        <is>
          <t>C</t>
        </is>
      </c>
      <c r="D112" s="46" t="inlineStr">
        <is>
          <t>D</t>
        </is>
      </c>
      <c r="E112" s="46" t="inlineStr">
        <is>
          <t>E</t>
        </is>
      </c>
    </row>
    <row r="113" ht="34" customHeight="1">
      <c r="A113" s="46" t="n">
        <v>40</v>
      </c>
      <c r="B113" s="47" t="inlineStr">
        <is>
          <t>מוצר</t>
        </is>
      </c>
      <c r="C113" s="47" t="inlineStr">
        <is>
          <t>מחיר לא כולל משלוח</t>
        </is>
      </c>
      <c r="D113" s="47" t="inlineStr">
        <is>
          <t>עלות משלוח</t>
        </is>
      </c>
      <c r="E113" s="47" t="inlineStr">
        <is>
          <t>עלות כוללת</t>
        </is>
      </c>
    </row>
    <row r="114" ht="21" customHeight="1">
      <c r="A114" s="46" t="n">
        <v>41</v>
      </c>
      <c r="B114" s="23" t="inlineStr">
        <is>
          <t>מקלדת</t>
        </is>
      </c>
      <c r="C114" s="23" t="n">
        <v>50</v>
      </c>
      <c r="D114" s="23" t="n">
        <v>14</v>
      </c>
      <c r="E114" s="48" t="n"/>
    </row>
    <row r="115" ht="21" customHeight="1">
      <c r="A115" s="46" t="n">
        <v>42</v>
      </c>
      <c r="B115" s="23" t="inlineStr">
        <is>
          <t>עכבר</t>
        </is>
      </c>
      <c r="C115" s="23" t="n">
        <v>80</v>
      </c>
      <c r="D115" s="23" t="n">
        <v>19</v>
      </c>
      <c r="E115" s="23" t="n"/>
    </row>
    <row r="116" ht="21" customHeight="1">
      <c r="A116" s="46" t="n">
        <v>43</v>
      </c>
      <c r="B116" s="23" t="inlineStr">
        <is>
          <t>מסך</t>
        </is>
      </c>
      <c r="C116" s="23" t="n">
        <v>120</v>
      </c>
      <c r="D116" s="23" t="n">
        <v>23</v>
      </c>
      <c r="E116" s="23" t="n"/>
    </row>
    <row r="117" ht="21" customHeight="1">
      <c r="A117" s="46" t="n">
        <v>44</v>
      </c>
      <c r="B117" s="23" t="inlineStr">
        <is>
          <t>מצלמה</t>
        </is>
      </c>
      <c r="C117" s="23" t="n">
        <v>140</v>
      </c>
      <c r="D117" s="23" t="n">
        <v>57</v>
      </c>
      <c r="E117" s="23" t="n"/>
    </row>
    <row r="118" ht="21" customHeight="1">
      <c r="A118" s="46" t="n">
        <v>45</v>
      </c>
      <c r="B118" s="23" t="inlineStr">
        <is>
          <t>כבל</t>
        </is>
      </c>
      <c r="C118" s="23" t="n">
        <v>10</v>
      </c>
      <c r="D118" s="23" t="n">
        <v>3</v>
      </c>
      <c r="E118" s="23" t="n"/>
    </row>
    <row r="119" ht="38" customHeight="1">
      <c r="A119" s="31" t="inlineStr">
        <is>
          <t>ההנחיה</t>
        </is>
      </c>
      <c r="B119" s="32" t="inlineStr">
        <is>
          <t>מהי הנוסחה שתירשם בתא E41 (בצהוב), ואשר תתאפשר גרירתה כלפי מטה, על מנת להשלים את העלות הכוללת לכל המוצרים?</t>
        </is>
      </c>
      <c r="C119" s="30" t="n"/>
      <c r="D119" s="30" t="n"/>
      <c r="E119" s="30" t="n"/>
      <c r="F119" s="30" t="n"/>
      <c r="G119" s="30" t="n"/>
    </row>
    <row r="120" ht="22" customHeight="1">
      <c r="A120" s="31" t="inlineStr">
        <is>
          <t>א</t>
        </is>
      </c>
      <c r="B120" s="33" t="inlineStr">
        <is>
          <t>C41+D41</t>
        </is>
      </c>
      <c r="C120" s="30" t="n"/>
      <c r="D120" s="30" t="n"/>
      <c r="E120" s="30" t="n"/>
      <c r="F120" s="30" t="n"/>
      <c r="G120" s="30" t="n"/>
    </row>
    <row r="121" ht="22" customHeight="1">
      <c r="A121" s="31" t="inlineStr">
        <is>
          <t>ב</t>
        </is>
      </c>
      <c r="B121" s="33">
        <f>50+14</f>
        <v/>
      </c>
      <c r="C121" s="30" t="n"/>
      <c r="D121" s="30" t="n"/>
      <c r="E121" s="30" t="n"/>
      <c r="F121" s="30" t="n"/>
      <c r="G121" s="30" t="n"/>
    </row>
    <row r="122" ht="22" customHeight="1">
      <c r="A122" s="34" t="inlineStr">
        <is>
          <t>ג</t>
        </is>
      </c>
      <c r="B122" s="35">
        <f>C41+D41   ✓ התשובה הנכונה</f>
        <v/>
      </c>
      <c r="C122" s="36" t="n"/>
      <c r="D122" s="36" t="n"/>
      <c r="E122" s="36" t="n"/>
      <c r="F122" s="36" t="n"/>
      <c r="G122" s="36" t="n"/>
    </row>
    <row r="123" ht="22" customHeight="1">
      <c r="A123" s="31" t="inlineStr">
        <is>
          <t>ד</t>
        </is>
      </c>
      <c r="B123" s="33">
        <f>41C+41D</f>
        <v/>
      </c>
      <c r="C123" s="30" t="n"/>
      <c r="D123" s="30" t="n"/>
      <c r="E123" s="30" t="n"/>
      <c r="F123" s="30" t="n"/>
      <c r="G123" s="30" t="n"/>
    </row>
    <row r="124" ht="22" customHeight="1">
      <c r="A124" s="31" t="inlineStr">
        <is>
          <t>ה</t>
        </is>
      </c>
      <c r="B124" s="33" t="inlineStr">
        <is>
          <t>כל יתר התשובות שגויות</t>
        </is>
      </c>
      <c r="C124" s="30" t="n"/>
      <c r="D124" s="30" t="n"/>
      <c r="E124" s="30" t="n"/>
      <c r="F124" s="30" t="n"/>
      <c r="G124" s="30" t="n"/>
    </row>
    <row r="125" ht="22" customHeight="1">
      <c r="A125" s="37" t="inlineStr">
        <is>
          <t>בדיקה</t>
        </is>
      </c>
      <c r="B125" s="4" t="inlineStr">
        <is>
          <t>א: בלי סימן = זה טקסט, לא חישוב.</t>
        </is>
      </c>
      <c r="C125" s="30" t="n"/>
      <c r="D125" s="30" t="n"/>
      <c r="E125" s="30" t="n"/>
      <c r="F125" s="30" t="n"/>
      <c r="G125" s="30" t="n"/>
    </row>
    <row r="126" ht="22" customHeight="1">
      <c r="A126" s="37" t="inlineStr">
        <is>
          <t>בדיקה</t>
        </is>
      </c>
      <c r="B126" s="4" t="inlineStr">
        <is>
          <t>ב: התוצאה נכונה למקלדת (64), אבל אלה מספרים מוקלדים. בגרירה, כל המוצרים יקבלו 64.</t>
        </is>
      </c>
      <c r="C126" s="30" t="n"/>
      <c r="D126" s="30" t="n"/>
      <c r="E126" s="30" t="n"/>
      <c r="F126" s="30" t="n"/>
      <c r="G126" s="30" t="n"/>
    </row>
    <row r="127" ht="22" customHeight="1">
      <c r="A127" s="37" t="inlineStr">
        <is>
          <t>בדיקה</t>
        </is>
      </c>
      <c r="B127" s="4" t="inlineStr">
        <is>
          <t>ג: נכונה. מפנה למחיר ולמשלוח של המוצר הראשון, ובגרירה Excel יעבור ל-C42+D42 וכן הלאה.</t>
        </is>
      </c>
      <c r="C127" s="30" t="n"/>
      <c r="D127" s="30" t="n"/>
      <c r="E127" s="30" t="n"/>
      <c r="F127" s="30" t="n"/>
      <c r="G127" s="30" t="n"/>
    </row>
    <row r="128" ht="22" customHeight="1">
      <c r="A128" s="37" t="inlineStr">
        <is>
          <t>בדיקה</t>
        </is>
      </c>
      <c r="B128" s="4" t="inlineStr">
        <is>
          <t>ד: כתובות הפוכות (מספר ואז אות), לא תקינות.</t>
        </is>
      </c>
      <c r="C128" s="30" t="n"/>
      <c r="D128" s="30" t="n"/>
      <c r="E128" s="30" t="n"/>
      <c r="F128" s="30" t="n"/>
      <c r="G128" s="30" t="n"/>
    </row>
    <row r="129" ht="22" customHeight="1">
      <c r="A129" s="37" t="inlineStr">
        <is>
          <t>בדיקה</t>
        </is>
      </c>
      <c r="B129" s="4" t="inlineStr">
        <is>
          <t>ה: נפסלת, כי ג נכונה.</t>
        </is>
      </c>
      <c r="C129" s="30" t="n"/>
      <c r="D129" s="30" t="n"/>
      <c r="E129" s="30" t="n"/>
      <c r="F129" s="30" t="n"/>
      <c r="G129" s="30" t="n"/>
    </row>
    <row r="130" ht="22" customHeight="1">
      <c r="A130" s="40" t="inlineStr">
        <is>
          <t>מה נבחן</t>
        </is>
      </c>
      <c r="B130" s="41" t="inlineStr">
        <is>
          <t>כתיבת נוסחה פשוטה עם הפניות, שאפשר לגרור.</t>
        </is>
      </c>
      <c r="C130" s="42" t="n"/>
      <c r="D130" s="42" t="n"/>
      <c r="E130" s="42" t="n"/>
      <c r="F130" s="42" t="n"/>
      <c r="G130" s="42" t="n"/>
    </row>
    <row r="131" ht="22" customHeight="1">
      <c r="A131" s="43" t="inlineStr">
        <is>
          <t>טיפ</t>
        </is>
      </c>
      <c r="B131" s="44" t="inlineStr">
        <is>
          <t>״תתאפשר גרירתה״ = חייבים הפניות לתאים, לא מספרים מוקלדים.</t>
        </is>
      </c>
      <c r="C131" s="45" t="n"/>
      <c r="D131" s="45" t="n"/>
      <c r="E131" s="45" t="n"/>
      <c r="F131" s="45" t="n"/>
      <c r="G131" s="45" t="n"/>
    </row>
    <row r="133" ht="26" customHeight="1">
      <c r="A133" s="28" t="inlineStr">
        <is>
          <t>שאלה 8 · מצבי הזנה</t>
        </is>
      </c>
    </row>
    <row r="134" ht="22" customHeight="1">
      <c r="A134" s="29" t="inlineStr">
        <is>
          <t>השאלה</t>
        </is>
      </c>
      <c r="B134" s="13" t="inlineStr">
        <is>
          <t>לפניכם טבלת נתונים שהכין מאור:</t>
        </is>
      </c>
      <c r="C134" s="30" t="n"/>
      <c r="D134" s="30" t="n"/>
      <c r="E134" s="30" t="n"/>
      <c r="F134" s="30" t="n"/>
      <c r="G134" s="30" t="n"/>
    </row>
    <row r="135">
      <c r="B135" s="46" t="inlineStr">
        <is>
          <t>B</t>
        </is>
      </c>
      <c r="C135" s="46" t="inlineStr">
        <is>
          <t>C</t>
        </is>
      </c>
      <c r="D135" s="46" t="inlineStr">
        <is>
          <t>D</t>
        </is>
      </c>
    </row>
    <row r="136" ht="34" customHeight="1">
      <c r="A136" s="46" t="n">
        <v>5</v>
      </c>
      <c r="B136" s="47" t="inlineStr">
        <is>
          <t>מס׳ עובד</t>
        </is>
      </c>
      <c r="C136" s="47" t="inlineStr">
        <is>
          <t>מס׳ מוצרים</t>
        </is>
      </c>
      <c r="D136" s="47" t="inlineStr">
        <is>
          <t>סניף</t>
        </is>
      </c>
    </row>
    <row r="137" ht="21" customHeight="1">
      <c r="A137" s="46" t="n">
        <v>6</v>
      </c>
      <c r="B137" s="23" t="n">
        <v>5</v>
      </c>
      <c r="C137" s="23" t="n">
        <v>70</v>
      </c>
      <c r="D137" s="23" t="inlineStr">
        <is>
          <t>רחובות</t>
        </is>
      </c>
    </row>
    <row r="138" ht="21" customHeight="1">
      <c r="A138" s="46" t="n">
        <v>7</v>
      </c>
      <c r="B138" s="23" t="n">
        <v>18</v>
      </c>
      <c r="C138" s="23" t="n">
        <v>48</v>
      </c>
      <c r="D138" s="23" t="inlineStr">
        <is>
          <t>נתיבות</t>
        </is>
      </c>
    </row>
    <row r="139" ht="21" customHeight="1">
      <c r="A139" s="46" t="n">
        <v>8</v>
      </c>
      <c r="B139" s="23" t="n">
        <v>29</v>
      </c>
      <c r="C139" s="23" t="n">
        <v>38</v>
      </c>
      <c r="D139" s="23" t="inlineStr">
        <is>
          <t>כפר סבא</t>
        </is>
      </c>
    </row>
    <row r="140" ht="21" customHeight="1">
      <c r="A140" s="46" t="n">
        <v>9</v>
      </c>
      <c r="B140" s="23" t="n">
        <v>33</v>
      </c>
      <c r="C140" s="23" t="n">
        <v>29</v>
      </c>
      <c r="D140" s="23" t="inlineStr">
        <is>
          <t>אור יהודה</t>
        </is>
      </c>
    </row>
    <row r="141" ht="21" customHeight="1">
      <c r="A141" s="46" t="n">
        <v>10</v>
      </c>
      <c r="B141" s="23" t="n">
        <v>49</v>
      </c>
      <c r="C141" s="23" t="n">
        <v>39</v>
      </c>
      <c r="D141" s="23" t="inlineStr">
        <is>
          <t>חדיד</t>
        </is>
      </c>
    </row>
    <row r="142" ht="38" customHeight="1">
      <c r="A142" s="31" t="inlineStr">
        <is>
          <t>טענה 1</t>
        </is>
      </c>
      <c r="B142" s="4" t="inlineStr">
        <is>
          <t>אם נבחר את תא D6 בקליק בודד ונתחיל להקליד ״לוד״, המילה ״רחובות״ תימחק ותוחלף בהקלדה החדשה</t>
        </is>
      </c>
      <c r="C142" s="30" t="n"/>
      <c r="D142" s="30" t="n"/>
      <c r="E142" s="30" t="n"/>
      <c r="F142" s="30" t="n"/>
      <c r="G142" s="30" t="n"/>
    </row>
    <row r="143" ht="22" customHeight="1">
      <c r="A143" s="31" t="inlineStr">
        <is>
          <t>טענה 2</t>
        </is>
      </c>
      <c r="B143" s="4" t="inlineStr">
        <is>
          <t>אם נבצע דאבל קליק על תא D6 ונקליד ״ מערב״, ההקלדה תתווסף לטקסט הקיים בתא</t>
        </is>
      </c>
      <c r="C143" s="30" t="n"/>
      <c r="D143" s="30" t="n"/>
      <c r="E143" s="30" t="n"/>
      <c r="F143" s="30" t="n"/>
      <c r="G143" s="30" t="n"/>
    </row>
    <row r="144" ht="22" customHeight="1">
      <c r="A144" s="31" t="inlineStr">
        <is>
          <t>טענה 3</t>
        </is>
      </c>
      <c r="B144" s="4" t="inlineStr">
        <is>
          <t>דאבל קליק על תא ריק מכניס אותנו למצב Edit</t>
        </is>
      </c>
      <c r="C144" s="30" t="n"/>
      <c r="D144" s="30" t="n"/>
      <c r="E144" s="30" t="n"/>
      <c r="F144" s="30" t="n"/>
      <c r="G144" s="30" t="n"/>
    </row>
    <row r="145" ht="22" customHeight="1">
      <c r="A145" s="31" t="inlineStr">
        <is>
          <t>ההנחיה</t>
        </is>
      </c>
      <c r="B145" s="32" t="inlineStr">
        <is>
          <t>הטענה / הטענות הנכונה / הנכונות:</t>
        </is>
      </c>
      <c r="C145" s="30" t="n"/>
      <c r="D145" s="30" t="n"/>
      <c r="E145" s="30" t="n"/>
      <c r="F145" s="30" t="n"/>
      <c r="G145" s="30" t="n"/>
    </row>
    <row r="146" ht="22" customHeight="1">
      <c r="A146" s="31" t="inlineStr">
        <is>
          <t>א</t>
        </is>
      </c>
      <c r="B146" s="33" t="inlineStr">
        <is>
          <t>טענה 1 בלבד</t>
        </is>
      </c>
      <c r="C146" s="30" t="n"/>
      <c r="D146" s="30" t="n"/>
      <c r="E146" s="30" t="n"/>
      <c r="F146" s="30" t="n"/>
      <c r="G146" s="30" t="n"/>
    </row>
    <row r="147" ht="22" customHeight="1">
      <c r="A147" s="31" t="inlineStr">
        <is>
          <t>ב</t>
        </is>
      </c>
      <c r="B147" s="33" t="inlineStr">
        <is>
          <t>טענות 1 ו-3</t>
        </is>
      </c>
      <c r="C147" s="30" t="n"/>
      <c r="D147" s="30" t="n"/>
      <c r="E147" s="30" t="n"/>
      <c r="F147" s="30" t="n"/>
      <c r="G147" s="30" t="n"/>
    </row>
    <row r="148" ht="22" customHeight="1">
      <c r="A148" s="34" t="inlineStr">
        <is>
          <t>ג</t>
        </is>
      </c>
      <c r="B148" s="35" t="inlineStr">
        <is>
          <t>טענות 1 ו-2   ✓ התשובה הנכונה</t>
        </is>
      </c>
      <c r="C148" s="36" t="n"/>
      <c r="D148" s="36" t="n"/>
      <c r="E148" s="36" t="n"/>
      <c r="F148" s="36" t="n"/>
      <c r="G148" s="36" t="n"/>
    </row>
    <row r="149" ht="22" customHeight="1">
      <c r="A149" s="31" t="inlineStr">
        <is>
          <t>ד</t>
        </is>
      </c>
      <c r="B149" s="33" t="inlineStr">
        <is>
          <t>טענה 2 בלבד</t>
        </is>
      </c>
      <c r="C149" s="30" t="n"/>
      <c r="D149" s="30" t="n"/>
      <c r="E149" s="30" t="n"/>
      <c r="F149" s="30" t="n"/>
      <c r="G149" s="30" t="n"/>
    </row>
    <row r="150" ht="22" customHeight="1">
      <c r="A150" s="31" t="inlineStr">
        <is>
          <t>ה</t>
        </is>
      </c>
      <c r="B150" s="33" t="inlineStr">
        <is>
          <t>כל הטענות נכונות</t>
        </is>
      </c>
      <c r="C150" s="30" t="n"/>
      <c r="D150" s="30" t="n"/>
      <c r="E150" s="30" t="n"/>
      <c r="F150" s="30" t="n"/>
      <c r="G150" s="30" t="n"/>
    </row>
    <row r="151" ht="22" customHeight="1">
      <c r="A151" s="37" t="inlineStr">
        <is>
          <t>טענה 1</t>
        </is>
      </c>
      <c r="B151" s="38" t="inlineStr">
        <is>
          <t>נכונה</t>
        </is>
      </c>
      <c r="C151" s="4" t="inlineStr">
        <is>
          <t>קליק בודד = מצב Ready. הקלדה במצב Ready דורסת את התוכן הקיים.</t>
        </is>
      </c>
      <c r="D151" s="30" t="n"/>
      <c r="E151" s="30" t="n"/>
      <c r="F151" s="30" t="n"/>
      <c r="G151" s="30" t="n"/>
    </row>
    <row r="152" ht="22" customHeight="1">
      <c r="A152" s="37" t="inlineStr">
        <is>
          <t>טענה 2</t>
        </is>
      </c>
      <c r="B152" s="38" t="inlineStr">
        <is>
          <t>נכונה</t>
        </is>
      </c>
      <c r="C152" s="4" t="inlineStr">
        <is>
          <t>דאבל קליק על תא עם תוכן = מצב Edit. ההקלדה מתווספת: ״רחובות מערב״.</t>
        </is>
      </c>
      <c r="D152" s="30" t="n"/>
      <c r="E152" s="30" t="n"/>
      <c r="F152" s="30" t="n"/>
      <c r="G152" s="30" t="n"/>
    </row>
    <row r="153" ht="22" customHeight="1">
      <c r="A153" s="37" t="inlineStr">
        <is>
          <t>טענה 3</t>
        </is>
      </c>
      <c r="B153" s="39" t="inlineStr">
        <is>
          <t>שגויה</t>
        </is>
      </c>
      <c r="C153" s="4" t="inlineStr">
        <is>
          <t>בתא ריק אין מה לערוך. דאבל קליק עליו והקלדה = מצב Enter (הזנה מאפס).</t>
        </is>
      </c>
      <c r="D153" s="30" t="n"/>
      <c r="E153" s="30" t="n"/>
      <c r="F153" s="30" t="n"/>
      <c r="G153" s="30" t="n"/>
    </row>
    <row r="154" ht="22" customHeight="1">
      <c r="A154" s="40" t="inlineStr">
        <is>
          <t>מה נבחן</t>
        </is>
      </c>
      <c r="B154" s="41" t="inlineStr">
        <is>
          <t>ההבדל בין Ready, Edit ו-Enter, לפי איך הגענו לתא ומה יש בו.</t>
        </is>
      </c>
      <c r="C154" s="42" t="n"/>
      <c r="D154" s="42" t="n"/>
      <c r="E154" s="42" t="n"/>
      <c r="F154" s="42" t="n"/>
      <c r="G154" s="42" t="n"/>
    </row>
    <row r="155" ht="22" customHeight="1">
      <c r="A155" s="43" t="inlineStr">
        <is>
          <t>טיפ</t>
        </is>
      </c>
      <c r="B155" s="44" t="inlineStr">
        <is>
          <t>שאלו: הגעתי בקליק או בדאבל קליק? והתא ריק או מלא?</t>
        </is>
      </c>
      <c r="C155" s="45" t="n"/>
      <c r="D155" s="45" t="n"/>
      <c r="E155" s="45" t="n"/>
      <c r="F155" s="45" t="n"/>
      <c r="G155" s="45" t="n"/>
    </row>
    <row r="157" ht="26" customHeight="1">
      <c r="A157" s="28" t="inlineStr">
        <is>
          <t>שאלה 9 · Ready ו-ESC</t>
        </is>
      </c>
    </row>
    <row r="158" ht="22" customHeight="1">
      <c r="A158" s="29" t="inlineStr">
        <is>
          <t>השאלה</t>
        </is>
      </c>
      <c r="B158" s="13" t="inlineStr">
        <is>
          <t>לפניכם מספר טענות:</t>
        </is>
      </c>
      <c r="C158" s="30" t="n"/>
      <c r="D158" s="30" t="n"/>
      <c r="E158" s="30" t="n"/>
      <c r="F158" s="30" t="n"/>
      <c r="G158" s="30" t="n"/>
    </row>
    <row r="159" ht="38" customHeight="1">
      <c r="A159" s="31" t="inlineStr">
        <is>
          <t>טענה 1</t>
        </is>
      </c>
      <c r="B159" s="4" t="inlineStr">
        <is>
          <t>אם אני מקליד נתונים בתא שהיה ריק (מצב Enter), ובאמצע ההקלדה לוחץ על ESC, הנתונים שהקלדתי יישמרו בתא</t>
        </is>
      </c>
      <c r="C159" s="30" t="n"/>
      <c r="D159" s="30" t="n"/>
      <c r="E159" s="30" t="n"/>
      <c r="F159" s="30" t="n"/>
      <c r="G159" s="30" t="n"/>
    </row>
    <row r="160" ht="22" customHeight="1">
      <c r="A160" s="31" t="inlineStr">
        <is>
          <t>טענה 2</t>
        </is>
      </c>
      <c r="B160" s="4" t="inlineStr">
        <is>
          <t>ניווט לתא באמצעות מקשי החיצים מוביל להימצאות במצב Ready באותו התא</t>
        </is>
      </c>
      <c r="C160" s="30" t="n"/>
      <c r="D160" s="30" t="n"/>
      <c r="E160" s="30" t="n"/>
      <c r="F160" s="30" t="n"/>
      <c r="G160" s="30" t="n"/>
    </row>
    <row r="161" ht="22" customHeight="1">
      <c r="A161" s="31" t="inlineStr">
        <is>
          <t>טענה 3</t>
        </is>
      </c>
      <c r="B161" s="4" t="inlineStr">
        <is>
          <t>מצב Ready הוא המצב שבו אני נמצא בזמן שאני מקליד נתונים לתוך התא</t>
        </is>
      </c>
      <c r="C161" s="30" t="n"/>
      <c r="D161" s="30" t="n"/>
      <c r="E161" s="30" t="n"/>
      <c r="F161" s="30" t="n"/>
      <c r="G161" s="30" t="n"/>
    </row>
    <row r="162" ht="22" customHeight="1">
      <c r="A162" s="31" t="inlineStr">
        <is>
          <t>ההנחיה</t>
        </is>
      </c>
      <c r="B162" s="32" t="inlineStr">
        <is>
          <t>הטענה / הטענות הנכונה / הנכונות:</t>
        </is>
      </c>
      <c r="C162" s="30" t="n"/>
      <c r="D162" s="30" t="n"/>
      <c r="E162" s="30" t="n"/>
      <c r="F162" s="30" t="n"/>
      <c r="G162" s="30" t="n"/>
    </row>
    <row r="163" ht="22" customHeight="1">
      <c r="A163" s="31" t="inlineStr">
        <is>
          <t>א</t>
        </is>
      </c>
      <c r="B163" s="33" t="inlineStr">
        <is>
          <t>טענה 1 בלבד</t>
        </is>
      </c>
      <c r="C163" s="30" t="n"/>
      <c r="D163" s="30" t="n"/>
      <c r="E163" s="30" t="n"/>
      <c r="F163" s="30" t="n"/>
      <c r="G163" s="30" t="n"/>
    </row>
    <row r="164" ht="22" customHeight="1">
      <c r="A164" s="34" t="inlineStr">
        <is>
          <t>ב</t>
        </is>
      </c>
      <c r="B164" s="35" t="inlineStr">
        <is>
          <t>טענה 2 בלבד   ✓ התשובה הנכונה</t>
        </is>
      </c>
      <c r="C164" s="36" t="n"/>
      <c r="D164" s="36" t="n"/>
      <c r="E164" s="36" t="n"/>
      <c r="F164" s="36" t="n"/>
      <c r="G164" s="36" t="n"/>
    </row>
    <row r="165" ht="22" customHeight="1">
      <c r="A165" s="31" t="inlineStr">
        <is>
          <t>ג</t>
        </is>
      </c>
      <c r="B165" s="33" t="inlineStr">
        <is>
          <t>טענות 1 ו-2</t>
        </is>
      </c>
      <c r="C165" s="30" t="n"/>
      <c r="D165" s="30" t="n"/>
      <c r="E165" s="30" t="n"/>
      <c r="F165" s="30" t="n"/>
      <c r="G165" s="30" t="n"/>
    </row>
    <row r="166" ht="22" customHeight="1">
      <c r="A166" s="31" t="inlineStr">
        <is>
          <t>ד</t>
        </is>
      </c>
      <c r="B166" s="33" t="inlineStr">
        <is>
          <t>טענות 2 ו-3</t>
        </is>
      </c>
      <c r="C166" s="30" t="n"/>
      <c r="D166" s="30" t="n"/>
      <c r="E166" s="30" t="n"/>
      <c r="F166" s="30" t="n"/>
      <c r="G166" s="30" t="n"/>
    </row>
    <row r="167" ht="22" customHeight="1">
      <c r="A167" s="31" t="inlineStr">
        <is>
          <t>ה</t>
        </is>
      </c>
      <c r="B167" s="33" t="inlineStr">
        <is>
          <t>כל הטענות שגויות</t>
        </is>
      </c>
      <c r="C167" s="30" t="n"/>
      <c r="D167" s="30" t="n"/>
      <c r="E167" s="30" t="n"/>
      <c r="F167" s="30" t="n"/>
      <c r="G167" s="30" t="n"/>
    </row>
    <row r="168" ht="38" customHeight="1">
      <c r="A168" s="37" t="inlineStr">
        <is>
          <t>טענה 1</t>
        </is>
      </c>
      <c r="B168" s="39" t="inlineStr">
        <is>
          <t>שגויה</t>
        </is>
      </c>
      <c r="C168" s="4" t="inlineStr">
        <is>
          <t>ESC מבטל את ההקלדה ומחזיר את התא למצבו הקודם (כאן: ריק). Enter הוא שקולט את הנתונים.</t>
        </is>
      </c>
      <c r="D168" s="30" t="n"/>
      <c r="E168" s="30" t="n"/>
      <c r="F168" s="30" t="n"/>
      <c r="G168" s="30" t="n"/>
    </row>
    <row r="169" ht="22" customHeight="1">
      <c r="A169" s="37" t="inlineStr">
        <is>
          <t>טענה 2</t>
        </is>
      </c>
      <c r="B169" s="38" t="inlineStr">
        <is>
          <t>נכונה</t>
        </is>
      </c>
      <c r="C169" s="4" t="inlineStr">
        <is>
          <t>חיצים או קליק בודד = Ready.</t>
        </is>
      </c>
      <c r="D169" s="30" t="n"/>
      <c r="E169" s="30" t="n"/>
      <c r="F169" s="30" t="n"/>
      <c r="G169" s="30" t="n"/>
    </row>
    <row r="170" ht="22" customHeight="1">
      <c r="A170" s="37" t="inlineStr">
        <is>
          <t>טענה 3</t>
        </is>
      </c>
      <c r="B170" s="39" t="inlineStr">
        <is>
          <t>שגויה</t>
        </is>
      </c>
      <c r="C170" s="4" t="inlineStr">
        <is>
          <t>Ready = ״מוכן להקלדה״, לא ״מקליד״. בזמן ההקלדה הסטטוס הוא Enter.</t>
        </is>
      </c>
      <c r="D170" s="30" t="n"/>
      <c r="E170" s="30" t="n"/>
      <c r="F170" s="30" t="n"/>
      <c r="G170" s="30" t="n"/>
    </row>
    <row r="171" ht="22" customHeight="1">
      <c r="A171" s="40" t="inlineStr">
        <is>
          <t>מה נבחן</t>
        </is>
      </c>
      <c r="B171" s="41" t="inlineStr">
        <is>
          <t>ESC מול Enter, ומה בדיוק אומר Ready.</t>
        </is>
      </c>
      <c r="C171" s="42" t="n"/>
      <c r="D171" s="42" t="n"/>
      <c r="E171" s="42" t="n"/>
      <c r="F171" s="42" t="n"/>
      <c r="G171" s="42" t="n"/>
    </row>
    <row r="172" ht="22" customHeight="1">
      <c r="A172" s="43" t="inlineStr">
        <is>
          <t>טיפ</t>
        </is>
      </c>
      <c r="B172" s="44" t="inlineStr">
        <is>
          <t>Ready = מוכן. Enter = מזין. Edit = עורך.</t>
        </is>
      </c>
      <c r="C172" s="45" t="n"/>
      <c r="D172" s="45" t="n"/>
      <c r="E172" s="45" t="n"/>
      <c r="F172" s="45" t="n"/>
      <c r="G172" s="45" t="n"/>
    </row>
    <row r="174" ht="26" customHeight="1">
      <c r="A174" s="28" t="inlineStr">
        <is>
          <t>שאלה 10 · מצב Enter</t>
        </is>
      </c>
    </row>
    <row r="175" ht="38" customHeight="1">
      <c r="A175" s="29" t="inlineStr">
        <is>
          <t>השאלה</t>
        </is>
      </c>
      <c r="B175" s="13" t="inlineStr">
        <is>
          <t>רון עומד על תא ריק ומתחיל להקליד בו את המילה ״תקציב״. לפני שסיים, הוא לוחץ על מקש ESC. מה המצב שבו היה התא במהלך ההקלדה, ומה יקרה בעקבות הלחיצה על ESC?</t>
        </is>
      </c>
      <c r="C175" s="30" t="n"/>
      <c r="D175" s="30" t="n"/>
      <c r="E175" s="30" t="n"/>
      <c r="F175" s="30" t="n"/>
      <c r="G175" s="30" t="n"/>
    </row>
    <row r="176" ht="22" customHeight="1">
      <c r="A176" s="34" t="inlineStr">
        <is>
          <t>א</t>
        </is>
      </c>
      <c r="B176" s="35" t="inlineStr">
        <is>
          <t>מצב Enter; ההקלדה תבוטל והתא יחזור להיות ריק   ✓ התשובה הנכונה</t>
        </is>
      </c>
      <c r="C176" s="36" t="n"/>
      <c r="D176" s="36" t="n"/>
      <c r="E176" s="36" t="n"/>
      <c r="F176" s="36" t="n"/>
      <c r="G176" s="36" t="n"/>
    </row>
    <row r="177" ht="22" customHeight="1">
      <c r="A177" s="31" t="inlineStr">
        <is>
          <t>ב</t>
        </is>
      </c>
      <c r="B177" s="33" t="inlineStr">
        <is>
          <t>מצב Edit; ההקלדה תישמר בתא</t>
        </is>
      </c>
      <c r="C177" s="30" t="n"/>
      <c r="D177" s="30" t="n"/>
      <c r="E177" s="30" t="n"/>
      <c r="F177" s="30" t="n"/>
      <c r="G177" s="30" t="n"/>
    </row>
    <row r="178" ht="22" customHeight="1">
      <c r="A178" s="31" t="inlineStr">
        <is>
          <t>ג</t>
        </is>
      </c>
      <c r="B178" s="33" t="inlineStr">
        <is>
          <t>מצב Ready; ההקלדה תישמר והסמן יעבור לתא הבא</t>
        </is>
      </c>
      <c r="C178" s="30" t="n"/>
      <c r="D178" s="30" t="n"/>
      <c r="E178" s="30" t="n"/>
      <c r="F178" s="30" t="n"/>
      <c r="G178" s="30" t="n"/>
    </row>
    <row r="179" ht="22" customHeight="1">
      <c r="A179" s="31" t="inlineStr">
        <is>
          <t>ד</t>
        </is>
      </c>
      <c r="B179" s="33" t="inlineStr">
        <is>
          <t>מצב Enter; ההקלדה תישמר והסמן יעבור לתא הבא</t>
        </is>
      </c>
      <c r="C179" s="30" t="n"/>
      <c r="D179" s="30" t="n"/>
      <c r="E179" s="30" t="n"/>
      <c r="F179" s="30" t="n"/>
      <c r="G179" s="30" t="n"/>
    </row>
    <row r="180" ht="22" customHeight="1">
      <c r="A180" s="31" t="inlineStr">
        <is>
          <t>ה</t>
        </is>
      </c>
      <c r="B180" s="33" t="inlineStr">
        <is>
          <t>מצב Edit; ההקלדה תבוטל והתא יחזור להיות ריק</t>
        </is>
      </c>
      <c r="C180" s="30" t="n"/>
      <c r="D180" s="30" t="n"/>
      <c r="E180" s="30" t="n"/>
      <c r="F180" s="30" t="n"/>
      <c r="G180" s="30" t="n"/>
    </row>
    <row r="181" ht="22" customHeight="1">
      <c r="A181" s="37" t="inlineStr">
        <is>
          <t>בדיקה</t>
        </is>
      </c>
      <c r="B181" s="4" t="inlineStr">
        <is>
          <t>א: נכונה. הקלדה בתא ריק = Enter, ו-ESC מבטל ומחזיר את התא למצבו הקודם.</t>
        </is>
      </c>
      <c r="C181" s="30" t="n"/>
      <c r="D181" s="30" t="n"/>
      <c r="E181" s="30" t="n"/>
      <c r="F181" s="30" t="n"/>
      <c r="G181" s="30" t="n"/>
    </row>
    <row r="182" ht="22" customHeight="1">
      <c r="A182" s="37" t="inlineStr">
        <is>
          <t>בדיקה</t>
        </is>
      </c>
      <c r="B182" s="4" t="inlineStr">
        <is>
          <t>ב, ה: Edit הוא עריכה של תוכן קיים. התא היה ריק.</t>
        </is>
      </c>
      <c r="C182" s="30" t="n"/>
      <c r="D182" s="30" t="n"/>
      <c r="E182" s="30" t="n"/>
      <c r="F182" s="30" t="n"/>
      <c r="G182" s="30" t="n"/>
    </row>
    <row r="183" ht="22" customHeight="1">
      <c r="A183" s="37" t="inlineStr">
        <is>
          <t>בדיקה</t>
        </is>
      </c>
      <c r="B183" s="4" t="inlineStr">
        <is>
          <t>ג: Ready הוא ״מוכן להקלדה״, לא מצב ההקלדה עצמה.</t>
        </is>
      </c>
      <c r="C183" s="30" t="n"/>
      <c r="D183" s="30" t="n"/>
      <c r="E183" s="30" t="n"/>
      <c r="F183" s="30" t="n"/>
      <c r="G183" s="30" t="n"/>
    </row>
    <row r="184" ht="22" customHeight="1">
      <c r="A184" s="37" t="inlineStr">
        <is>
          <t>בדיקה</t>
        </is>
      </c>
      <c r="B184" s="4" t="inlineStr">
        <is>
          <t>ד: המצב נכון, אבל מה שתואר כאן קורה בלחיצה על Enter, לא על ESC.</t>
        </is>
      </c>
      <c r="C184" s="30" t="n"/>
      <c r="D184" s="30" t="n"/>
      <c r="E184" s="30" t="n"/>
      <c r="F184" s="30" t="n"/>
      <c r="G184" s="30" t="n"/>
    </row>
    <row r="185" ht="22" customHeight="1">
      <c r="A185" s="40" t="inlineStr">
        <is>
          <t>מה נבחן</t>
        </is>
      </c>
      <c r="B185" s="41" t="inlineStr">
        <is>
          <t>זיהוי המצב, ותפקיד ESC.</t>
        </is>
      </c>
      <c r="C185" s="42" t="n"/>
      <c r="D185" s="42" t="n"/>
      <c r="E185" s="42" t="n"/>
      <c r="F185" s="42" t="n"/>
      <c r="G185" s="42" t="n"/>
    </row>
    <row r="186" ht="22" customHeight="1">
      <c r="A186" s="43" t="inlineStr">
        <is>
          <t>טיפ</t>
        </is>
      </c>
      <c r="B186" s="44" t="inlineStr">
        <is>
          <t>כשכל אפשרות כוללת שני חלקים, בדקו את שניהם. חצי נכון = שגוי.</t>
        </is>
      </c>
      <c r="C186" s="45" t="n"/>
      <c r="D186" s="45" t="n"/>
      <c r="E186" s="45" t="n"/>
      <c r="F186" s="45" t="n"/>
      <c r="G186" s="45" t="n"/>
    </row>
    <row r="188" ht="26" customHeight="1">
      <c r="A188" s="28" t="inlineStr">
        <is>
          <t>שאלה 11 · ניווט במקלדת</t>
        </is>
      </c>
    </row>
    <row r="189" ht="22" customHeight="1">
      <c r="A189" s="29" t="inlineStr">
        <is>
          <t>השאלה</t>
        </is>
      </c>
      <c r="B189" s="13" t="inlineStr">
        <is>
          <t>לפניכם מספר טענות:</t>
        </is>
      </c>
      <c r="C189" s="30" t="n"/>
      <c r="D189" s="30" t="n"/>
      <c r="E189" s="30" t="n"/>
      <c r="F189" s="30" t="n"/>
      <c r="G189" s="30" t="n"/>
    </row>
    <row r="190" ht="22" customHeight="1">
      <c r="A190" s="31" t="inlineStr">
        <is>
          <t>טענה 1</t>
        </is>
      </c>
      <c r="B190" s="4" t="inlineStr">
        <is>
          <t>לחיצה על Tab מעבירה לתא בעמודה הבאה, ואילו Shift+Tab מעבירה לתא בעמודה הקודמת</t>
        </is>
      </c>
      <c r="C190" s="30" t="n"/>
      <c r="D190" s="30" t="n"/>
      <c r="E190" s="30" t="n"/>
      <c r="F190" s="30" t="n"/>
      <c r="G190" s="30" t="n"/>
    </row>
    <row r="191" ht="38" customHeight="1">
      <c r="A191" s="31" t="inlineStr">
        <is>
          <t>טענה 2</t>
        </is>
      </c>
      <c r="B191" s="4" t="inlineStr">
        <is>
          <t>לחיצה על Enter מעבירה לתא בשורה הבאה (למטה), ואילו Shift+Enter מעבירה לתא בשורה הקודמת (למעלה)</t>
        </is>
      </c>
      <c r="C191" s="30" t="n"/>
      <c r="D191" s="30" t="n"/>
      <c r="E191" s="30" t="n"/>
      <c r="F191" s="30" t="n"/>
      <c r="G191" s="30" t="n"/>
    </row>
    <row r="192" ht="22" customHeight="1">
      <c r="A192" s="31" t="inlineStr">
        <is>
          <t>טענה 3</t>
        </is>
      </c>
      <c r="B192" s="4" t="inlineStr">
        <is>
          <t>ב-Excel ניתן לנוע בין תאים באמצעות מקשי החיצים או העכבר בלבד</t>
        </is>
      </c>
      <c r="C192" s="30" t="n"/>
      <c r="D192" s="30" t="n"/>
      <c r="E192" s="30" t="n"/>
      <c r="F192" s="30" t="n"/>
      <c r="G192" s="30" t="n"/>
    </row>
    <row r="193" ht="22" customHeight="1">
      <c r="A193" s="31" t="inlineStr">
        <is>
          <t>ההנחיה</t>
        </is>
      </c>
      <c r="B193" s="32" t="inlineStr">
        <is>
          <t>הטענה / הטענות הנכונה / הנכונות:</t>
        </is>
      </c>
      <c r="C193" s="30" t="n"/>
      <c r="D193" s="30" t="n"/>
      <c r="E193" s="30" t="n"/>
      <c r="F193" s="30" t="n"/>
      <c r="G193" s="30" t="n"/>
    </row>
    <row r="194" ht="22" customHeight="1">
      <c r="A194" s="31" t="inlineStr">
        <is>
          <t>א</t>
        </is>
      </c>
      <c r="B194" s="33" t="inlineStr">
        <is>
          <t>טענה 1 בלבד</t>
        </is>
      </c>
      <c r="C194" s="30" t="n"/>
      <c r="D194" s="30" t="n"/>
      <c r="E194" s="30" t="n"/>
      <c r="F194" s="30" t="n"/>
      <c r="G194" s="30" t="n"/>
    </row>
    <row r="195" ht="22" customHeight="1">
      <c r="A195" s="31" t="inlineStr">
        <is>
          <t>ב</t>
        </is>
      </c>
      <c r="B195" s="33" t="inlineStr">
        <is>
          <t>טענה 3 בלבד</t>
        </is>
      </c>
      <c r="C195" s="30" t="n"/>
      <c r="D195" s="30" t="n"/>
      <c r="E195" s="30" t="n"/>
      <c r="F195" s="30" t="n"/>
      <c r="G195" s="30" t="n"/>
    </row>
    <row r="196" ht="22" customHeight="1">
      <c r="A196" s="31" t="inlineStr">
        <is>
          <t>ג</t>
        </is>
      </c>
      <c r="B196" s="33" t="inlineStr">
        <is>
          <t>טענות 1 ו-3</t>
        </is>
      </c>
      <c r="C196" s="30" t="n"/>
      <c r="D196" s="30" t="n"/>
      <c r="E196" s="30" t="n"/>
      <c r="F196" s="30" t="n"/>
      <c r="G196" s="30" t="n"/>
    </row>
    <row r="197" ht="22" customHeight="1">
      <c r="A197" s="34" t="inlineStr">
        <is>
          <t>ד</t>
        </is>
      </c>
      <c r="B197" s="35" t="inlineStr">
        <is>
          <t>טענות 1 ו-2   ✓ התשובה הנכונה</t>
        </is>
      </c>
      <c r="C197" s="36" t="n"/>
      <c r="D197" s="36" t="n"/>
      <c r="E197" s="36" t="n"/>
      <c r="F197" s="36" t="n"/>
      <c r="G197" s="36" t="n"/>
    </row>
    <row r="198" ht="22" customHeight="1">
      <c r="A198" s="31" t="inlineStr">
        <is>
          <t>ה</t>
        </is>
      </c>
      <c r="B198" s="33" t="inlineStr">
        <is>
          <t>כל הטענות נכונות</t>
        </is>
      </c>
      <c r="C198" s="30" t="n"/>
      <c r="D198" s="30" t="n"/>
      <c r="E198" s="30" t="n"/>
      <c r="F198" s="30" t="n"/>
      <c r="G198" s="30" t="n"/>
    </row>
    <row r="199" ht="22" customHeight="1">
      <c r="A199" s="37" t="inlineStr">
        <is>
          <t>טענה 1</t>
        </is>
      </c>
      <c r="B199" s="38" t="inlineStr">
        <is>
          <t>נכונה</t>
        </is>
      </c>
      <c r="C199" s="4" t="inlineStr">
        <is>
          <t>Tab קדימה בין עמודות, Shift+Tab אחורה.</t>
        </is>
      </c>
      <c r="D199" s="30" t="n"/>
      <c r="E199" s="30" t="n"/>
      <c r="F199" s="30" t="n"/>
      <c r="G199" s="30" t="n"/>
    </row>
    <row r="200" ht="22" customHeight="1">
      <c r="A200" s="37" t="inlineStr">
        <is>
          <t>טענה 2</t>
        </is>
      </c>
      <c r="B200" s="38" t="inlineStr">
        <is>
          <t>נכונה</t>
        </is>
      </c>
      <c r="C200" s="4" t="inlineStr">
        <is>
          <t>Enter במקום חץ למטה, Shift+Enter במקום חץ למעלה.</t>
        </is>
      </c>
      <c r="D200" s="30" t="n"/>
      <c r="E200" s="30" t="n"/>
      <c r="F200" s="30" t="n"/>
      <c r="G200" s="30" t="n"/>
    </row>
    <row r="201" ht="22" customHeight="1">
      <c r="A201" s="37" t="inlineStr">
        <is>
          <t>טענה 3</t>
        </is>
      </c>
      <c r="B201" s="39" t="inlineStr">
        <is>
          <t>שגויה</t>
        </is>
      </c>
      <c r="C201" s="4" t="inlineStr">
        <is>
          <t>טענות 1 ו-2 מראות בדיוק שיש עוד מקשים לניווט.</t>
        </is>
      </c>
      <c r="D201" s="30" t="n"/>
      <c r="E201" s="30" t="n"/>
      <c r="F201" s="30" t="n"/>
      <c r="G201" s="30" t="n"/>
    </row>
    <row r="202" ht="22" customHeight="1">
      <c r="A202" s="40" t="inlineStr">
        <is>
          <t>מה נבחן</t>
        </is>
      </c>
      <c r="B202" s="41" t="inlineStr">
        <is>
          <t>מקשי הניווט שנלמדו.</t>
        </is>
      </c>
      <c r="C202" s="42" t="n"/>
      <c r="D202" s="42" t="n"/>
      <c r="E202" s="42" t="n"/>
      <c r="F202" s="42" t="n"/>
      <c r="G202" s="42" t="n"/>
    </row>
    <row r="203" ht="22" customHeight="1">
      <c r="A203" s="43" t="inlineStr">
        <is>
          <t>טיפ</t>
        </is>
      </c>
      <c r="B203" s="44" t="inlineStr">
        <is>
          <t>כשטענה אומרת ״בלבד״ או ״רק״, חפשו דוגמה נגדית. לפעמים היא כתובה בטענה הסמוכה.</t>
        </is>
      </c>
      <c r="C203" s="45" t="n"/>
      <c r="D203" s="45" t="n"/>
      <c r="E203" s="45" t="n"/>
      <c r="F203" s="45" t="n"/>
      <c r="G203" s="45" t="n"/>
    </row>
    <row r="205" ht="26" customHeight="1">
      <c r="A205" s="28" t="inlineStr">
        <is>
          <t>שאלה 12 · רוחב וגובה</t>
        </is>
      </c>
    </row>
    <row r="206" ht="22" customHeight="1">
      <c r="A206" s="29" t="inlineStr">
        <is>
          <t>השאלה</t>
        </is>
      </c>
      <c r="B206" s="13" t="inlineStr">
        <is>
          <t>לפניכם מספר טענות:</t>
        </is>
      </c>
      <c r="C206" s="30" t="n"/>
      <c r="D206" s="30" t="n"/>
      <c r="E206" s="30" t="n"/>
      <c r="F206" s="30" t="n"/>
      <c r="G206" s="30" t="n"/>
    </row>
    <row r="207" ht="38" customHeight="1">
      <c r="A207" s="31" t="inlineStr">
        <is>
          <t>טענה 1</t>
        </is>
      </c>
      <c r="B207" s="4" t="inlineStr">
        <is>
          <t>דאבל קליק על הגבול שבין כותרות שתי עמודות סמוכות (למשל, בין C ל-D) הוא אחת השיטות להתאמה אוטומטית של רוחב העמודה לתוכן שבה</t>
        </is>
      </c>
      <c r="C207" s="30" t="n"/>
      <c r="D207" s="30" t="n"/>
      <c r="E207" s="30" t="n"/>
      <c r="F207" s="30" t="n"/>
      <c r="G207" s="30" t="n"/>
    </row>
    <row r="208" ht="22" customHeight="1">
      <c r="A208" s="31" t="inlineStr">
        <is>
          <t>טענה 2</t>
        </is>
      </c>
      <c r="B208" s="4" t="inlineStr">
        <is>
          <t>קליק ימני על כותרת העמודה ובחירה ב״רוחב עמודה״ (Column Width) מאפשרים להזין רוחב מדויק</t>
        </is>
      </c>
      <c r="C208" s="30" t="n"/>
      <c r="D208" s="30" t="n"/>
      <c r="E208" s="30" t="n"/>
      <c r="F208" s="30" t="n"/>
      <c r="G208" s="30" t="n"/>
    </row>
    <row r="209" ht="22" customHeight="1">
      <c r="A209" s="31" t="inlineStr">
        <is>
          <t>טענה 3</t>
        </is>
      </c>
      <c r="B209" s="4" t="inlineStr">
        <is>
          <t>גרירת הגבול שבין מספרי השורות 7 ו-8 משנה את רוחב העמודה</t>
        </is>
      </c>
      <c r="C209" s="30" t="n"/>
      <c r="D209" s="30" t="n"/>
      <c r="E209" s="30" t="n"/>
      <c r="F209" s="30" t="n"/>
      <c r="G209" s="30" t="n"/>
    </row>
    <row r="210" ht="22" customHeight="1">
      <c r="A210" s="31" t="inlineStr">
        <is>
          <t>ההנחיה</t>
        </is>
      </c>
      <c r="B210" s="32" t="inlineStr">
        <is>
          <t>הטענה / הטענות הנכונה / הנכונות:</t>
        </is>
      </c>
      <c r="C210" s="30" t="n"/>
      <c r="D210" s="30" t="n"/>
      <c r="E210" s="30" t="n"/>
      <c r="F210" s="30" t="n"/>
      <c r="G210" s="30" t="n"/>
    </row>
    <row r="211" ht="22" customHeight="1">
      <c r="A211" s="31" t="inlineStr">
        <is>
          <t>א</t>
        </is>
      </c>
      <c r="B211" s="33" t="inlineStr">
        <is>
          <t>טענה 1 בלבד</t>
        </is>
      </c>
      <c r="C211" s="30" t="n"/>
      <c r="D211" s="30" t="n"/>
      <c r="E211" s="30" t="n"/>
      <c r="F211" s="30" t="n"/>
      <c r="G211" s="30" t="n"/>
    </row>
    <row r="212" ht="22" customHeight="1">
      <c r="A212" s="31" t="inlineStr">
        <is>
          <t>ב</t>
        </is>
      </c>
      <c r="B212" s="33" t="inlineStr">
        <is>
          <t>טענה 2 בלבד</t>
        </is>
      </c>
      <c r="C212" s="30" t="n"/>
      <c r="D212" s="30" t="n"/>
      <c r="E212" s="30" t="n"/>
      <c r="F212" s="30" t="n"/>
      <c r="G212" s="30" t="n"/>
    </row>
    <row r="213" ht="22" customHeight="1">
      <c r="A213" s="31" t="inlineStr">
        <is>
          <t>ג</t>
        </is>
      </c>
      <c r="B213" s="33" t="inlineStr">
        <is>
          <t>טענות 2 ו-3</t>
        </is>
      </c>
      <c r="C213" s="30" t="n"/>
      <c r="D213" s="30" t="n"/>
      <c r="E213" s="30" t="n"/>
      <c r="F213" s="30" t="n"/>
      <c r="G213" s="30" t="n"/>
    </row>
    <row r="214" ht="22" customHeight="1">
      <c r="A214" s="31" t="inlineStr">
        <is>
          <t>ד</t>
        </is>
      </c>
      <c r="B214" s="33" t="inlineStr">
        <is>
          <t>כל הטענות נכונות</t>
        </is>
      </c>
      <c r="C214" s="30" t="n"/>
      <c r="D214" s="30" t="n"/>
      <c r="E214" s="30" t="n"/>
      <c r="F214" s="30" t="n"/>
      <c r="G214" s="30" t="n"/>
    </row>
    <row r="215" ht="22" customHeight="1">
      <c r="A215" s="34" t="inlineStr">
        <is>
          <t>ה</t>
        </is>
      </c>
      <c r="B215" s="35" t="inlineStr">
        <is>
          <t>טענות 1 ו-2   ✓ התשובה הנכונה</t>
        </is>
      </c>
      <c r="C215" s="36" t="n"/>
      <c r="D215" s="36" t="n"/>
      <c r="E215" s="36" t="n"/>
      <c r="F215" s="36" t="n"/>
      <c r="G215" s="36" t="n"/>
    </row>
    <row r="216" ht="22" customHeight="1">
      <c r="A216" s="37" t="inlineStr">
        <is>
          <t>טענה 1</t>
        </is>
      </c>
      <c r="B216" s="38" t="inlineStr">
        <is>
          <t>נכונה</t>
        </is>
      </c>
      <c r="C216" s="4" t="inlineStr">
        <is>
          <t>זו ההרחבה האוטומטית: Excel מתאים את הרוחב לתוכן הארוך ביותר.</t>
        </is>
      </c>
      <c r="D216" s="30" t="n"/>
      <c r="E216" s="30" t="n"/>
      <c r="F216" s="30" t="n"/>
      <c r="G216" s="30" t="n"/>
    </row>
    <row r="217" ht="22" customHeight="1">
      <c r="A217" s="37" t="inlineStr">
        <is>
          <t>טענה 2</t>
        </is>
      </c>
      <c r="B217" s="38" t="inlineStr">
        <is>
          <t>נכונה</t>
        </is>
      </c>
      <c r="C217" s="4" t="inlineStr">
        <is>
          <t>זו ההרחבה המדויקת.</t>
        </is>
      </c>
      <c r="D217" s="30" t="n"/>
      <c r="E217" s="30" t="n"/>
      <c r="F217" s="30" t="n"/>
      <c r="G217" s="30" t="n"/>
    </row>
    <row r="218" ht="22" customHeight="1">
      <c r="A218" s="37" t="inlineStr">
        <is>
          <t>טענה 3</t>
        </is>
      </c>
      <c r="B218" s="39" t="inlineStr">
        <is>
          <t>שגויה</t>
        </is>
      </c>
      <c r="C218" s="4" t="inlineStr">
        <is>
          <t>הגבול בין מספרי שורות משנה את גובה השורה, לא את רוחב העמודה.</t>
        </is>
      </c>
      <c r="D218" s="30" t="n"/>
      <c r="E218" s="30" t="n"/>
      <c r="F218" s="30" t="n"/>
      <c r="G218" s="30" t="n"/>
    </row>
    <row r="219" ht="22" customHeight="1">
      <c r="A219" s="40" t="inlineStr">
        <is>
          <t>מה נבחן</t>
        </is>
      </c>
      <c r="B219" s="41" t="inlineStr">
        <is>
          <t>שלוש דרכי ההרחבה: ידנית, אוטומטית, מדויקת.</t>
        </is>
      </c>
      <c r="C219" s="42" t="n"/>
      <c r="D219" s="42" t="n"/>
      <c r="E219" s="42" t="n"/>
      <c r="F219" s="42" t="n"/>
      <c r="G219" s="42" t="n"/>
    </row>
    <row r="220" ht="22" customHeight="1">
      <c r="A220" s="43" t="inlineStr">
        <is>
          <t>טיפ</t>
        </is>
      </c>
      <c r="B220" s="44" t="inlineStr">
        <is>
          <t>גבול בין אותיות = רוחב עמודה. גבול בין מספרים = גובה שורה.</t>
        </is>
      </c>
      <c r="C220" s="45" t="n"/>
      <c r="D220" s="45" t="n"/>
      <c r="E220" s="45" t="n"/>
      <c r="F220" s="45" t="n"/>
      <c r="G220" s="45" t="n"/>
    </row>
    <row r="222" ht="26" customHeight="1">
      <c r="A222" s="28" t="inlineStr">
        <is>
          <t>שאלה 13 · השלמה, הוספה, עיצוב</t>
        </is>
      </c>
    </row>
    <row r="223" ht="22" customHeight="1">
      <c r="A223" s="29" t="inlineStr">
        <is>
          <t>השאלה</t>
        </is>
      </c>
      <c r="B223" s="13" t="inlineStr">
        <is>
          <t>לפניכם מספר טענות:</t>
        </is>
      </c>
      <c r="C223" s="30" t="n"/>
      <c r="D223" s="30" t="n"/>
      <c r="E223" s="30" t="n"/>
      <c r="F223" s="30" t="n"/>
      <c r="G223" s="30" t="n"/>
    </row>
    <row r="224" ht="38" customHeight="1">
      <c r="A224" s="31" t="inlineStr">
        <is>
          <t>טענה 1</t>
        </is>
      </c>
      <c r="B224" s="4" t="inlineStr">
        <is>
          <t>כאשר Excel מציע השלמה אוטומטית לטקסט, בהתבסס על ערכים שכבר הוקלדו באותה עמודה, ניתן לדחות את ההצעה על ידי המשך הקלדה</t>
        </is>
      </c>
      <c r="C224" s="30" t="n"/>
      <c r="D224" s="30" t="n"/>
      <c r="E224" s="30" t="n"/>
      <c r="F224" s="30" t="n"/>
      <c r="G224" s="30" t="n"/>
    </row>
    <row r="225" ht="22" customHeight="1">
      <c r="A225" s="31" t="inlineStr">
        <is>
          <t>טענה 2</t>
        </is>
      </c>
      <c r="B225" s="4" t="inlineStr">
        <is>
          <t>קליק ימני על מספר של שורה ובחירה ב״הוספה״ (Insert) יוסיפו לגיליון עמודה חדשה</t>
        </is>
      </c>
      <c r="C225" s="30" t="n"/>
      <c r="D225" s="30" t="n"/>
      <c r="E225" s="30" t="n"/>
      <c r="F225" s="30" t="n"/>
      <c r="G225" s="30" t="n"/>
    </row>
    <row r="226" ht="22" customHeight="1">
      <c r="A226" s="31" t="inlineStr">
        <is>
          <t>טענה 3</t>
        </is>
      </c>
      <c r="B226" s="4" t="inlineStr">
        <is>
          <t>באמצעות רצועת הכלים (Ribbon) ניתן לשנות את גודל הגופן, אך לא את צבעו</t>
        </is>
      </c>
      <c r="C226" s="30" t="n"/>
      <c r="D226" s="30" t="n"/>
      <c r="E226" s="30" t="n"/>
      <c r="F226" s="30" t="n"/>
      <c r="G226" s="30" t="n"/>
    </row>
    <row r="227" ht="22" customHeight="1">
      <c r="A227" s="31" t="inlineStr">
        <is>
          <t>ההנחיה</t>
        </is>
      </c>
      <c r="B227" s="32" t="inlineStr">
        <is>
          <t>הטענה / הטענות הנכונה / הנכונות:</t>
        </is>
      </c>
      <c r="C227" s="30" t="n"/>
      <c r="D227" s="30" t="n"/>
      <c r="E227" s="30" t="n"/>
      <c r="F227" s="30" t="n"/>
      <c r="G227" s="30" t="n"/>
    </row>
    <row r="228" ht="22" customHeight="1">
      <c r="A228" s="34" t="inlineStr">
        <is>
          <t>א</t>
        </is>
      </c>
      <c r="B228" s="35" t="inlineStr">
        <is>
          <t>טענה 1 בלבד   ✓ התשובה הנכונה</t>
        </is>
      </c>
      <c r="C228" s="36" t="n"/>
      <c r="D228" s="36" t="n"/>
      <c r="E228" s="36" t="n"/>
      <c r="F228" s="36" t="n"/>
      <c r="G228" s="36" t="n"/>
    </row>
    <row r="229" ht="22" customHeight="1">
      <c r="A229" s="31" t="inlineStr">
        <is>
          <t>ב</t>
        </is>
      </c>
      <c r="B229" s="33" t="inlineStr">
        <is>
          <t>טענות 1 ו-2</t>
        </is>
      </c>
      <c r="C229" s="30" t="n"/>
      <c r="D229" s="30" t="n"/>
      <c r="E229" s="30" t="n"/>
      <c r="F229" s="30" t="n"/>
      <c r="G229" s="30" t="n"/>
    </row>
    <row r="230" ht="22" customHeight="1">
      <c r="A230" s="31" t="inlineStr">
        <is>
          <t>ג</t>
        </is>
      </c>
      <c r="B230" s="33" t="inlineStr">
        <is>
          <t>טענה 3 בלבד</t>
        </is>
      </c>
      <c r="C230" s="30" t="n"/>
      <c r="D230" s="30" t="n"/>
      <c r="E230" s="30" t="n"/>
      <c r="F230" s="30" t="n"/>
      <c r="G230" s="30" t="n"/>
    </row>
    <row r="231" ht="22" customHeight="1">
      <c r="A231" s="31" t="inlineStr">
        <is>
          <t>ד</t>
        </is>
      </c>
      <c r="B231" s="33" t="inlineStr">
        <is>
          <t>טענות 2 ו-3</t>
        </is>
      </c>
      <c r="C231" s="30" t="n"/>
      <c r="D231" s="30" t="n"/>
      <c r="E231" s="30" t="n"/>
      <c r="F231" s="30" t="n"/>
      <c r="G231" s="30" t="n"/>
    </row>
    <row r="232" ht="22" customHeight="1">
      <c r="A232" s="31" t="inlineStr">
        <is>
          <t>ה</t>
        </is>
      </c>
      <c r="B232" s="33" t="inlineStr">
        <is>
          <t>כל הטענות שגויות</t>
        </is>
      </c>
      <c r="C232" s="30" t="n"/>
      <c r="D232" s="30" t="n"/>
      <c r="E232" s="30" t="n"/>
      <c r="F232" s="30" t="n"/>
      <c r="G232" s="30" t="n"/>
    </row>
    <row r="233" ht="22" customHeight="1">
      <c r="A233" s="37" t="inlineStr">
        <is>
          <t>טענה 1</t>
        </is>
      </c>
      <c r="B233" s="38" t="inlineStr">
        <is>
          <t>נכונה</t>
        </is>
      </c>
      <c r="C233" s="4" t="inlineStr">
        <is>
          <t>ההצעה מסומנת, וממשיכים להקליד כדי לדרוס אותה.</t>
        </is>
      </c>
      <c r="D233" s="30" t="n"/>
      <c r="E233" s="30" t="n"/>
      <c r="F233" s="30" t="n"/>
      <c r="G233" s="30" t="n"/>
    </row>
    <row r="234" ht="38" customHeight="1">
      <c r="A234" s="37" t="inlineStr">
        <is>
          <t>טענה 2</t>
        </is>
      </c>
      <c r="B234" s="39" t="inlineStr">
        <is>
          <t>שגויה</t>
        </is>
      </c>
      <c r="C234" s="4" t="inlineStr">
        <is>
          <t>קליק ימני על מספר שורה ← הוספה מוסיף שורה. עמודה מוסיפים מכותרת העמודה (האות).</t>
        </is>
      </c>
      <c r="D234" s="30" t="n"/>
      <c r="E234" s="30" t="n"/>
      <c r="F234" s="30" t="n"/>
      <c r="G234" s="30" t="n"/>
    </row>
    <row r="235" ht="22" customHeight="1">
      <c r="A235" s="37" t="inlineStr">
        <is>
          <t>טענה 3</t>
        </is>
      </c>
      <c r="B235" s="39" t="inlineStr">
        <is>
          <t>שגויה</t>
        </is>
      </c>
      <c r="C235" s="4" t="inlineStr">
        <is>
          <t>ברצועת הכלים אפשר לשנות גם גודל וגם צבע גופן, ועוד הרבה.</t>
        </is>
      </c>
      <c r="D235" s="30" t="n"/>
      <c r="E235" s="30" t="n"/>
      <c r="F235" s="30" t="n"/>
      <c r="G235" s="30" t="n"/>
    </row>
    <row r="236" ht="22" customHeight="1">
      <c r="A236" s="40" t="inlineStr">
        <is>
          <t>מה נבחן</t>
        </is>
      </c>
      <c r="B236" s="41" t="inlineStr">
        <is>
          <t>כלים בסיסיים מהמפגש.</t>
        </is>
      </c>
      <c r="C236" s="42" t="n"/>
      <c r="D236" s="42" t="n"/>
      <c r="E236" s="42" t="n"/>
      <c r="F236" s="42" t="n"/>
      <c r="G236" s="42" t="n"/>
    </row>
    <row r="237" ht="22" customHeight="1">
      <c r="A237" s="43" t="inlineStr">
        <is>
          <t>טיפ</t>
        </is>
      </c>
      <c r="B237" s="44" t="inlineStr">
        <is>
          <t>״אך לא״ היא מילת מלכודת. בדקו את החלק השני של הטענה בנפרד.</t>
        </is>
      </c>
      <c r="C237" s="45" t="n"/>
      <c r="D237" s="45" t="n"/>
      <c r="E237" s="45" t="n"/>
      <c r="F237" s="45" t="n"/>
      <c r="G237" s="45" t="n"/>
    </row>
    <row r="239" ht="26" customHeight="1">
      <c r="A239" s="28" t="inlineStr">
        <is>
          <t>שאלה 14 · סימון והעברה</t>
        </is>
      </c>
    </row>
    <row r="240" ht="22" customHeight="1">
      <c r="A240" s="29" t="inlineStr">
        <is>
          <t>השאלה</t>
        </is>
      </c>
      <c r="B240" s="13" t="inlineStr">
        <is>
          <t>לפניכם מספר טענות:</t>
        </is>
      </c>
      <c r="C240" s="30" t="n"/>
      <c r="D240" s="30" t="n"/>
      <c r="E240" s="30" t="n"/>
      <c r="F240" s="30" t="n"/>
      <c r="G240" s="30" t="n"/>
    </row>
    <row r="241" ht="38" customHeight="1">
      <c r="A241" s="31" t="inlineStr">
        <is>
          <t>טענה 1</t>
        </is>
      </c>
      <c r="B241" s="4" t="inlineStr">
        <is>
          <t>לחיצה על Ctrl, ואז על Shift וחץ למטה, מסמנת בהכרח את כל התאים בעמודה עד סוף הטבלה, גם אם יש בה תא ריק</t>
        </is>
      </c>
      <c r="C241" s="30" t="n"/>
      <c r="D241" s="30" t="n"/>
      <c r="E241" s="30" t="n"/>
      <c r="F241" s="30" t="n"/>
      <c r="G241" s="30" t="n"/>
    </row>
    <row r="242" ht="38" customHeight="1">
      <c r="A242" s="31" t="inlineStr">
        <is>
          <t>טענה 2</t>
        </is>
      </c>
      <c r="B242" s="4" t="inlineStr">
        <is>
          <t>סימון טווח, הצבעה על אחד מגבולותיו וגרירה מעבירים את המידע המסומן למקום החדש, בלי לשכפל אותו</t>
        </is>
      </c>
      <c r="C242" s="30" t="n"/>
      <c r="D242" s="30" t="n"/>
      <c r="E242" s="30" t="n"/>
      <c r="F242" s="30" t="n"/>
      <c r="G242" s="30" t="n"/>
    </row>
    <row r="243" ht="22" customHeight="1">
      <c r="A243" s="31" t="inlineStr">
        <is>
          <t>טענה 3</t>
        </is>
      </c>
      <c r="B243" s="4" t="inlineStr">
        <is>
          <t>סימון שורה ולחיצה על Ctrl ו״מינוס״ (במחשב Windows) מוחקים את השורה</t>
        </is>
      </c>
      <c r="C243" s="30" t="n"/>
      <c r="D243" s="30" t="n"/>
      <c r="E243" s="30" t="n"/>
      <c r="F243" s="30" t="n"/>
      <c r="G243" s="30" t="n"/>
    </row>
    <row r="244" ht="22" customHeight="1">
      <c r="A244" s="31" t="inlineStr">
        <is>
          <t>ההנחיה</t>
        </is>
      </c>
      <c r="B244" s="32" t="inlineStr">
        <is>
          <t>הטענה / הטענות הנכונה / הנכונות:</t>
        </is>
      </c>
      <c r="C244" s="30" t="n"/>
      <c r="D244" s="30" t="n"/>
      <c r="E244" s="30" t="n"/>
      <c r="F244" s="30" t="n"/>
      <c r="G244" s="30" t="n"/>
    </row>
    <row r="245" ht="22" customHeight="1">
      <c r="A245" s="31" t="inlineStr">
        <is>
          <t>א</t>
        </is>
      </c>
      <c r="B245" s="33" t="inlineStr">
        <is>
          <t>טענה 1 בלבד</t>
        </is>
      </c>
      <c r="C245" s="30" t="n"/>
      <c r="D245" s="30" t="n"/>
      <c r="E245" s="30" t="n"/>
      <c r="F245" s="30" t="n"/>
      <c r="G245" s="30" t="n"/>
    </row>
    <row r="246" ht="22" customHeight="1">
      <c r="A246" s="31" t="inlineStr">
        <is>
          <t>ב</t>
        </is>
      </c>
      <c r="B246" s="33" t="inlineStr">
        <is>
          <t>טענה 2 בלבד</t>
        </is>
      </c>
      <c r="C246" s="30" t="n"/>
      <c r="D246" s="30" t="n"/>
      <c r="E246" s="30" t="n"/>
      <c r="F246" s="30" t="n"/>
      <c r="G246" s="30" t="n"/>
    </row>
    <row r="247" ht="22" customHeight="1">
      <c r="A247" s="31" t="inlineStr">
        <is>
          <t>ג</t>
        </is>
      </c>
      <c r="B247" s="33" t="inlineStr">
        <is>
          <t>טענות 1 ו-2</t>
        </is>
      </c>
      <c r="C247" s="30" t="n"/>
      <c r="D247" s="30" t="n"/>
      <c r="E247" s="30" t="n"/>
      <c r="F247" s="30" t="n"/>
      <c r="G247" s="30" t="n"/>
    </row>
    <row r="248" ht="22" customHeight="1">
      <c r="A248" s="34" t="inlineStr">
        <is>
          <t>ד</t>
        </is>
      </c>
      <c r="B248" s="35" t="inlineStr">
        <is>
          <t>טענות 2 ו-3   ✓ התשובה הנכונה</t>
        </is>
      </c>
      <c r="C248" s="36" t="n"/>
      <c r="D248" s="36" t="n"/>
      <c r="E248" s="36" t="n"/>
      <c r="F248" s="36" t="n"/>
      <c r="G248" s="36" t="n"/>
    </row>
    <row r="249" ht="22" customHeight="1">
      <c r="A249" s="31" t="inlineStr">
        <is>
          <t>ה</t>
        </is>
      </c>
      <c r="B249" s="33" t="inlineStr">
        <is>
          <t>כל הטענות נכונות</t>
        </is>
      </c>
      <c r="C249" s="30" t="n"/>
      <c r="D249" s="30" t="n"/>
      <c r="E249" s="30" t="n"/>
      <c r="F249" s="30" t="n"/>
      <c r="G249" s="30" t="n"/>
    </row>
    <row r="250" ht="22" customHeight="1">
      <c r="A250" s="37" t="inlineStr">
        <is>
          <t>טענה 1</t>
        </is>
      </c>
      <c r="B250" s="39" t="inlineStr">
        <is>
          <t>שגויה</t>
        </is>
      </c>
      <c r="C250" s="4" t="inlineStr">
        <is>
          <t>הסימון נבלם בתא הריק הראשון. לכן לא בהכרח יסומן הכול.</t>
        </is>
      </c>
      <c r="D250" s="30" t="n"/>
      <c r="E250" s="30" t="n"/>
      <c r="F250" s="30" t="n"/>
      <c r="G250" s="30" t="n"/>
    </row>
    <row r="251" ht="22" customHeight="1">
      <c r="A251" s="37" t="inlineStr">
        <is>
          <t>טענה 2</t>
        </is>
      </c>
      <c r="B251" s="38" t="inlineStr">
        <is>
          <t>נכונה</t>
        </is>
      </c>
      <c r="C251" s="4" t="inlineStr">
        <is>
          <t>גרירה מהגבול = העברה (Move), לא העתקה.</t>
        </is>
      </c>
      <c r="D251" s="30" t="n"/>
      <c r="E251" s="30" t="n"/>
      <c r="F251" s="30" t="n"/>
      <c r="G251" s="30" t="n"/>
    </row>
    <row r="252" ht="22" customHeight="1">
      <c r="A252" s="37" t="inlineStr">
        <is>
          <t>טענה 3</t>
        </is>
      </c>
      <c r="B252" s="38" t="inlineStr">
        <is>
          <t>נכונה</t>
        </is>
      </c>
      <c r="C252" s="4" t="inlineStr">
        <is>
          <t>Ctrl ומינוס מוחקים שורה מסומנת (במק: Cmd ומינוס).</t>
        </is>
      </c>
      <c r="D252" s="30" t="n"/>
      <c r="E252" s="30" t="n"/>
      <c r="F252" s="30" t="n"/>
      <c r="G252" s="30" t="n"/>
    </row>
    <row r="253" ht="22" customHeight="1">
      <c r="A253" s="40" t="inlineStr">
        <is>
          <t>מה נבחן</t>
        </is>
      </c>
      <c r="B253" s="41" t="inlineStr">
        <is>
          <t>קיצורים וטריקים שהופיעו בשאלות מבחן אמיתיות.</t>
        </is>
      </c>
      <c r="C253" s="42" t="n"/>
      <c r="D253" s="42" t="n"/>
      <c r="E253" s="42" t="n"/>
      <c r="F253" s="42" t="n"/>
      <c r="G253" s="42" t="n"/>
    </row>
    <row r="254" ht="22" customHeight="1">
      <c r="A254" s="43" t="inlineStr">
        <is>
          <t>טיפ</t>
        </is>
      </c>
      <c r="B254" s="44" t="inlineStr">
        <is>
          <t>״בהכרח״ = מספיק מקרה אחד שבו זה לא קורה, והטענה שגויה.</t>
        </is>
      </c>
      <c r="C254" s="45" t="n"/>
      <c r="D254" s="45" t="n"/>
      <c r="E254" s="45" t="n"/>
      <c r="F254" s="45" t="n"/>
      <c r="G254" s="45" t="n"/>
    </row>
    <row r="256" ht="26" customHeight="1">
      <c r="A256" s="28" t="inlineStr">
        <is>
          <t>שאלה 15 · מע״מ</t>
        </is>
      </c>
    </row>
    <row r="257" ht="22" customHeight="1">
      <c r="A257" s="29" t="inlineStr">
        <is>
          <t>השאלה</t>
        </is>
      </c>
      <c r="B257" s="13" t="inlineStr">
        <is>
          <t>לפניכם נתוני טבלת Excel. בעמודה F רוצים לחשב את המחיר כולל מע״מ.</t>
        </is>
      </c>
      <c r="C257" s="30" t="n"/>
      <c r="D257" s="30" t="n"/>
      <c r="E257" s="30" t="n"/>
      <c r="F257" s="30" t="n"/>
      <c r="G257" s="30" t="n"/>
    </row>
    <row r="258">
      <c r="B258" s="46" t="inlineStr">
        <is>
          <t>B</t>
        </is>
      </c>
      <c r="C258" s="46" t="inlineStr">
        <is>
          <t>C</t>
        </is>
      </c>
      <c r="D258" s="46" t="inlineStr">
        <is>
          <t>D</t>
        </is>
      </c>
      <c r="E258" s="46" t="inlineStr">
        <is>
          <t>E</t>
        </is>
      </c>
      <c r="F258" s="46" t="inlineStr">
        <is>
          <t>F</t>
        </is>
      </c>
    </row>
    <row r="259" ht="34" customHeight="1">
      <c r="A259" s="46" t="n">
        <v>50</v>
      </c>
      <c r="B259" s="47" t="inlineStr">
        <is>
          <t>מק״ט</t>
        </is>
      </c>
      <c r="C259" s="47" t="inlineStr">
        <is>
          <t>שם הפריט</t>
        </is>
      </c>
      <c r="D259" s="47" t="inlineStr">
        <is>
          <t>מחיר</t>
        </is>
      </c>
      <c r="E259" s="47" t="inlineStr">
        <is>
          <t>שיעור המע״מ</t>
        </is>
      </c>
      <c r="F259" s="47" t="inlineStr">
        <is>
          <t>מחיר כולל מע״מ</t>
        </is>
      </c>
    </row>
    <row r="260" ht="21" customHeight="1">
      <c r="A260" s="46" t="n">
        <v>51</v>
      </c>
      <c r="B260" s="23" t="n">
        <v>1</v>
      </c>
      <c r="C260" s="23" t="inlineStr">
        <is>
          <t>ספר</t>
        </is>
      </c>
      <c r="D260" s="23" t="n">
        <v>20</v>
      </c>
      <c r="E260" s="23" t="inlineStr">
        <is>
          <t>18%</t>
        </is>
      </c>
      <c r="F260" s="48" t="n"/>
    </row>
    <row r="261" ht="21" customHeight="1">
      <c r="A261" s="46" t="n">
        <v>52</v>
      </c>
      <c r="B261" s="23" t="n">
        <v>2</v>
      </c>
      <c r="C261" s="23" t="inlineStr">
        <is>
          <t>מחשב נייד</t>
        </is>
      </c>
      <c r="D261" s="23" t="n">
        <v>2000</v>
      </c>
      <c r="E261" s="23" t="inlineStr">
        <is>
          <t>18%</t>
        </is>
      </c>
      <c r="F261" s="23" t="n"/>
    </row>
    <row r="262" ht="21" customHeight="1">
      <c r="A262" s="46" t="n">
        <v>53</v>
      </c>
      <c r="B262" s="23" t="n">
        <v>3</v>
      </c>
      <c r="C262" s="23" t="inlineStr">
        <is>
          <t>כסא</t>
        </is>
      </c>
      <c r="D262" s="23" t="n">
        <v>70</v>
      </c>
      <c r="E262" s="23" t="inlineStr">
        <is>
          <t>18%</t>
        </is>
      </c>
      <c r="F262" s="23" t="n"/>
    </row>
    <row r="263" ht="21" customHeight="1">
      <c r="A263" s="46" t="n">
        <v>54</v>
      </c>
      <c r="B263" s="23" t="n">
        <v>4</v>
      </c>
      <c r="C263" s="23" t="inlineStr">
        <is>
          <t>גמבה</t>
        </is>
      </c>
      <c r="D263" s="23" t="n">
        <v>10</v>
      </c>
      <c r="E263" s="23" t="inlineStr">
        <is>
          <t>0%</t>
        </is>
      </c>
      <c r="F263" s="23" t="n"/>
    </row>
    <row r="264" ht="21" customHeight="1">
      <c r="A264" s="46" t="n">
        <v>55</v>
      </c>
      <c r="B264" s="23" t="n">
        <v>5</v>
      </c>
      <c r="C264" s="23" t="inlineStr">
        <is>
          <t>שטיח</t>
        </is>
      </c>
      <c r="D264" s="23" t="n">
        <v>900</v>
      </c>
      <c r="E264" s="23" t="inlineStr">
        <is>
          <t>18%</t>
        </is>
      </c>
      <c r="F264" s="23" t="n"/>
    </row>
    <row r="265" ht="22" customHeight="1">
      <c r="A265" s="31" t="inlineStr">
        <is>
          <t>טענה 1</t>
        </is>
      </c>
      <c r="B265" s="4" t="inlineStr">
        <is>
          <t>הנוסחה =D51*E51 שתירשם בתא F51 תחשב את מחיר הספר כולל מע״מ</t>
        </is>
      </c>
      <c r="C265" s="30" t="n"/>
      <c r="D265" s="30" t="n"/>
      <c r="E265" s="30" t="n"/>
      <c r="F265" s="30" t="n"/>
      <c r="G265" s="30" t="n"/>
    </row>
    <row r="266" ht="22" customHeight="1">
      <c r="A266" s="31" t="inlineStr">
        <is>
          <t>טענה 2</t>
        </is>
      </c>
      <c r="B266" s="4" t="inlineStr">
        <is>
          <t>אם בתא F51 תירשם הנוסחה =D51*(1+E51) ותיגרר כלפי מטה, יוצג בתא F52 הערך 2,360</t>
        </is>
      </c>
      <c r="C266" s="30" t="n"/>
      <c r="D266" s="30" t="n"/>
      <c r="E266" s="30" t="n"/>
      <c r="F266" s="30" t="n"/>
      <c r="G266" s="30" t="n"/>
    </row>
    <row r="267" ht="38" customHeight="1">
      <c r="A267" s="31" t="inlineStr">
        <is>
          <t>טענה 3</t>
        </is>
      </c>
      <c r="B267" s="4" t="inlineStr">
        <is>
          <t>הנוסחה =D51*(1+18%), אם תירשם בתא F51 ותיגרר כלפי מטה, תחשב נכון את המחיר כולל מע״מ לכל הפריטים</t>
        </is>
      </c>
      <c r="C267" s="30" t="n"/>
      <c r="D267" s="30" t="n"/>
      <c r="E267" s="30" t="n"/>
      <c r="F267" s="30" t="n"/>
      <c r="G267" s="30" t="n"/>
    </row>
    <row r="268" ht="22" customHeight="1">
      <c r="A268" s="31" t="inlineStr">
        <is>
          <t>ההנחיה</t>
        </is>
      </c>
      <c r="B268" s="32" t="inlineStr">
        <is>
          <t>הטענה / הטענות הנכונה / הנכונות:</t>
        </is>
      </c>
      <c r="C268" s="30" t="n"/>
      <c r="D268" s="30" t="n"/>
      <c r="E268" s="30" t="n"/>
      <c r="F268" s="30" t="n"/>
      <c r="G268" s="30" t="n"/>
    </row>
    <row r="269" ht="22" customHeight="1">
      <c r="A269" s="31" t="inlineStr">
        <is>
          <t>א</t>
        </is>
      </c>
      <c r="B269" s="33" t="inlineStr">
        <is>
          <t>טענה 1 בלבד</t>
        </is>
      </c>
      <c r="C269" s="30" t="n"/>
      <c r="D269" s="30" t="n"/>
      <c r="E269" s="30" t="n"/>
      <c r="F269" s="30" t="n"/>
      <c r="G269" s="30" t="n"/>
    </row>
    <row r="270" ht="22" customHeight="1">
      <c r="A270" s="31" t="inlineStr">
        <is>
          <t>ב</t>
        </is>
      </c>
      <c r="B270" s="33" t="inlineStr">
        <is>
          <t>טענות 1 ו-2</t>
        </is>
      </c>
      <c r="C270" s="30" t="n"/>
      <c r="D270" s="30" t="n"/>
      <c r="E270" s="30" t="n"/>
      <c r="F270" s="30" t="n"/>
      <c r="G270" s="30" t="n"/>
    </row>
    <row r="271" ht="22" customHeight="1">
      <c r="A271" s="31" t="inlineStr">
        <is>
          <t>ג</t>
        </is>
      </c>
      <c r="B271" s="33" t="inlineStr">
        <is>
          <t>טענות 2 ו-3</t>
        </is>
      </c>
      <c r="C271" s="30" t="n"/>
      <c r="D271" s="30" t="n"/>
      <c r="E271" s="30" t="n"/>
      <c r="F271" s="30" t="n"/>
      <c r="G271" s="30" t="n"/>
    </row>
    <row r="272" ht="22" customHeight="1">
      <c r="A272" s="31" t="inlineStr">
        <is>
          <t>ד</t>
        </is>
      </c>
      <c r="B272" s="33" t="inlineStr">
        <is>
          <t>כל הטענות שגויות</t>
        </is>
      </c>
      <c r="C272" s="30" t="n"/>
      <c r="D272" s="30" t="n"/>
      <c r="E272" s="30" t="n"/>
      <c r="F272" s="30" t="n"/>
      <c r="G272" s="30" t="n"/>
    </row>
    <row r="273" ht="22" customHeight="1">
      <c r="A273" s="34" t="inlineStr">
        <is>
          <t>ה</t>
        </is>
      </c>
      <c r="B273" s="35" t="inlineStr">
        <is>
          <t>טענה 2 בלבד   ✓ התשובה הנכונה</t>
        </is>
      </c>
      <c r="C273" s="36" t="n"/>
      <c r="D273" s="36" t="n"/>
      <c r="E273" s="36" t="n"/>
      <c r="F273" s="36" t="n"/>
      <c r="G273" s="36" t="n"/>
    </row>
    <row r="274" ht="38" customHeight="1">
      <c r="A274" s="37" t="inlineStr">
        <is>
          <t>טענה 1</t>
        </is>
      </c>
      <c r="B274" s="39" t="inlineStr">
        <is>
          <t>שגויה</t>
        </is>
      </c>
      <c r="C274" s="4" t="inlineStr">
        <is>
          <t>מכפלה בשיעור המע״מ בלבד נותנת רק את סכום המע״מ (20 × 18% = 3.6), לא את המחיר הכולל.</t>
        </is>
      </c>
      <c r="D274" s="30" t="n"/>
      <c r="E274" s="30" t="n"/>
      <c r="F274" s="30" t="n"/>
      <c r="G274" s="30" t="n"/>
    </row>
    <row r="275" ht="22" customHeight="1">
      <c r="A275" s="37" t="inlineStr">
        <is>
          <t>טענה 2</t>
        </is>
      </c>
      <c r="B275" s="38" t="inlineStr">
        <is>
          <t>נכונה</t>
        </is>
      </c>
      <c r="C275" s="4" t="inlineStr">
        <is>
          <t>2,000 × (1 + 18%) = 2,360. הגרירה העבירה את ההפניות לשורה 52.</t>
        </is>
      </c>
      <c r="D275" s="30" t="n"/>
      <c r="E275" s="30" t="n"/>
      <c r="F275" s="30" t="n"/>
      <c r="G275" s="30" t="n"/>
    </row>
    <row r="276" ht="22" customHeight="1">
      <c r="A276" s="37" t="inlineStr">
        <is>
          <t>טענה 3</t>
        </is>
      </c>
      <c r="B276" s="39" t="inlineStr">
        <is>
          <t>שגויה</t>
        </is>
      </c>
      <c r="C276" s="4" t="inlineStr">
        <is>
          <t>לגמבה המע״מ 0%. הקלדת 18% קבועה תחייב גם אותה במע״מ (11.8 במקום 10).</t>
        </is>
      </c>
      <c r="D276" s="30" t="n"/>
      <c r="E276" s="30" t="n"/>
      <c r="F276" s="30" t="n"/>
      <c r="G276" s="30" t="n"/>
    </row>
    <row r="277" ht="22" customHeight="1">
      <c r="A277" s="40" t="inlineStr">
        <is>
          <t>מה נבחן</t>
        </is>
      </c>
      <c r="B277" s="41" t="inlineStr">
        <is>
          <t>מחיר כולל = מחיר × (1 + שיעור), עם הפניה לשיעור של כל שורה.</t>
        </is>
      </c>
      <c r="C277" s="42" t="n"/>
      <c r="D277" s="42" t="n"/>
      <c r="E277" s="42" t="n"/>
      <c r="F277" s="42" t="n"/>
      <c r="G277" s="42" t="n"/>
    </row>
    <row r="278" ht="22" customHeight="1">
      <c r="A278" s="43" t="inlineStr">
        <is>
          <t>טיפ</t>
        </is>
      </c>
      <c r="B278" s="44" t="inlineStr">
        <is>
          <t>נסו מספר עגול: 100 × 18% = 18 (רק המע״מ), 100 × 1.18 = 118 (כולל).</t>
        </is>
      </c>
      <c r="C278" s="45" t="n"/>
      <c r="D278" s="45" t="n"/>
      <c r="E278" s="45" t="n"/>
      <c r="F278" s="45" t="n"/>
      <c r="G278" s="45" t="n"/>
    </row>
    <row r="280" ht="26" customHeight="1">
      <c r="A280" s="28" t="inlineStr">
        <is>
          <t>שאלה 16 · הנחה</t>
        </is>
      </c>
    </row>
    <row r="281" ht="22" customHeight="1">
      <c r="A281" s="29" t="inlineStr">
        <is>
          <t>השאלה</t>
        </is>
      </c>
      <c r="B281" s="13" t="inlineStr">
        <is>
          <t>לפניכם נתוני ״קליית יבגני״ בע״מ.</t>
        </is>
      </c>
      <c r="C281" s="30" t="n"/>
      <c r="D281" s="30" t="n"/>
      <c r="E281" s="30" t="n"/>
      <c r="F281" s="30" t="n"/>
      <c r="G281" s="30" t="n"/>
    </row>
    <row r="282">
      <c r="B282" s="46" t="inlineStr">
        <is>
          <t>B</t>
        </is>
      </c>
      <c r="C282" s="46" t="inlineStr">
        <is>
          <t>C</t>
        </is>
      </c>
      <c r="D282" s="46" t="inlineStr">
        <is>
          <t>D</t>
        </is>
      </c>
      <c r="E282" s="46" t="inlineStr">
        <is>
          <t>E</t>
        </is>
      </c>
      <c r="F282" s="46" t="inlineStr">
        <is>
          <t>F</t>
        </is>
      </c>
    </row>
    <row r="283" ht="34" customHeight="1">
      <c r="A283" s="46" t="n">
        <v>60</v>
      </c>
      <c r="B283" s="47" t="inlineStr">
        <is>
          <t>מק״ט</t>
        </is>
      </c>
      <c r="C283" s="47" t="inlineStr">
        <is>
          <t>פריט</t>
        </is>
      </c>
      <c r="D283" s="47" t="inlineStr">
        <is>
          <t>מחיר בסיס</t>
        </is>
      </c>
      <c r="E283" s="47" t="inlineStr">
        <is>
          <t>שיעור הנחה</t>
        </is>
      </c>
      <c r="F283" s="47" t="inlineStr">
        <is>
          <t>מחיר סופי</t>
        </is>
      </c>
    </row>
    <row r="284" ht="21" customHeight="1">
      <c r="A284" s="46" t="n">
        <v>61</v>
      </c>
      <c r="B284" s="23" t="n">
        <v>1</v>
      </c>
      <c r="C284" s="23" t="inlineStr">
        <is>
          <t>גרעיני אבטיח</t>
        </is>
      </c>
      <c r="D284" s="23" t="n">
        <v>80</v>
      </c>
      <c r="E284" s="23" t="inlineStr">
        <is>
          <t>15%</t>
        </is>
      </c>
      <c r="F284" s="48" t="n"/>
    </row>
    <row r="285" ht="21" customHeight="1">
      <c r="A285" s="46" t="n">
        <v>62</v>
      </c>
      <c r="B285" s="23" t="n">
        <v>2</v>
      </c>
      <c r="C285" s="23" t="inlineStr">
        <is>
          <t>ערמונים</t>
        </is>
      </c>
      <c r="D285" s="23" t="n">
        <v>90</v>
      </c>
      <c r="E285" s="23" t="inlineStr">
        <is>
          <t>10%</t>
        </is>
      </c>
      <c r="F285" s="23" t="n"/>
    </row>
    <row r="286" ht="21" customHeight="1">
      <c r="A286" s="46" t="n">
        <v>63</v>
      </c>
      <c r="B286" s="23" t="n">
        <v>3</v>
      </c>
      <c r="C286" s="23" t="inlineStr">
        <is>
          <t>שעועית</t>
        </is>
      </c>
      <c r="D286" s="23" t="n">
        <v>30</v>
      </c>
      <c r="E286" s="23" t="inlineStr">
        <is>
          <t>0%</t>
        </is>
      </c>
      <c r="F286" s="23" t="n"/>
    </row>
    <row r="287" ht="21" customHeight="1">
      <c r="A287" s="46" t="n">
        <v>64</v>
      </c>
      <c r="B287" s="23" t="n">
        <v>4</v>
      </c>
      <c r="C287" s="23" t="inlineStr">
        <is>
          <t>תורמוס</t>
        </is>
      </c>
      <c r="D287" s="23" t="n">
        <v>20</v>
      </c>
      <c r="E287" s="23" t="inlineStr">
        <is>
          <t>5%</t>
        </is>
      </c>
      <c r="F287" s="23" t="n"/>
    </row>
    <row r="288" ht="21" customHeight="1">
      <c r="A288" s="46" t="n">
        <v>65</v>
      </c>
      <c r="B288" s="23" t="n">
        <v>5</v>
      </c>
      <c r="C288" s="23" t="inlineStr">
        <is>
          <t>עלי גפן</t>
        </is>
      </c>
      <c r="D288" s="23" t="n">
        <v>150</v>
      </c>
      <c r="E288" s="23" t="inlineStr">
        <is>
          <t>20%</t>
        </is>
      </c>
      <c r="F288" s="23" t="n"/>
    </row>
    <row r="289" ht="38" customHeight="1">
      <c r="A289" s="31" t="inlineStr">
        <is>
          <t>ההנחיה</t>
        </is>
      </c>
      <c r="B289" s="32" t="inlineStr">
        <is>
          <t>מהי הנוסחה שתירשם בתא F61, ואשר תתאפשר גרירתה כלפי מטה, על מנת לחשב את המחיר הסופי אחרי הנחה לכל המוצרים?</t>
        </is>
      </c>
      <c r="C289" s="30" t="n"/>
      <c r="D289" s="30" t="n"/>
      <c r="E289" s="30" t="n"/>
      <c r="F289" s="30" t="n"/>
      <c r="G289" s="30" t="n"/>
    </row>
    <row r="290" ht="22" customHeight="1">
      <c r="A290" s="31" t="inlineStr">
        <is>
          <t>א</t>
        </is>
      </c>
      <c r="B290" s="33">
        <f>D61*E61</f>
        <v/>
      </c>
      <c r="C290" s="30" t="n"/>
      <c r="D290" s="30" t="n"/>
      <c r="E290" s="30" t="n"/>
      <c r="F290" s="30" t="n"/>
      <c r="G290" s="30" t="n"/>
    </row>
    <row r="291" ht="22" customHeight="1">
      <c r="A291" s="34" t="inlineStr">
        <is>
          <t>ב</t>
        </is>
      </c>
      <c r="B291" s="35">
        <f>D61*(1-E61)   ✓ התשובה הנכונה</f>
        <v/>
      </c>
      <c r="C291" s="36" t="n"/>
      <c r="D291" s="36" t="n"/>
      <c r="E291" s="36" t="n"/>
      <c r="F291" s="36" t="n"/>
      <c r="G291" s="36" t="n"/>
    </row>
    <row r="292" ht="22" customHeight="1">
      <c r="A292" s="31" t="inlineStr">
        <is>
          <t>ג</t>
        </is>
      </c>
      <c r="B292" s="33">
        <f>D61*(1+E61)</f>
        <v/>
      </c>
      <c r="C292" s="30" t="n"/>
      <c r="D292" s="30" t="n"/>
      <c r="E292" s="30" t="n"/>
      <c r="F292" s="30" t="n"/>
      <c r="G292" s="30" t="n"/>
    </row>
    <row r="293" ht="22" customHeight="1">
      <c r="A293" s="31" t="inlineStr">
        <is>
          <t>ד</t>
        </is>
      </c>
      <c r="B293" s="33">
        <f>D61*(1-15%)</f>
        <v/>
      </c>
      <c r="C293" s="30" t="n"/>
      <c r="D293" s="30" t="n"/>
      <c r="E293" s="30" t="n"/>
      <c r="F293" s="30" t="n"/>
      <c r="G293" s="30" t="n"/>
    </row>
    <row r="294" ht="22" customHeight="1">
      <c r="A294" s="31" t="inlineStr">
        <is>
          <t>ה</t>
        </is>
      </c>
      <c r="B294" s="33">
        <f>D61-E61</f>
        <v/>
      </c>
      <c r="C294" s="30" t="n"/>
      <c r="D294" s="30" t="n"/>
      <c r="E294" s="30" t="n"/>
      <c r="F294" s="30" t="n"/>
      <c r="G294" s="30" t="n"/>
    </row>
    <row r="295" ht="22" customHeight="1">
      <c r="A295" s="37" t="inlineStr">
        <is>
          <t>בדיקה</t>
        </is>
      </c>
      <c r="B295" s="4" t="inlineStr">
        <is>
          <t>א: מחשבת רק את סכום ההנחה (12), לא את המחיר הסופי.</t>
        </is>
      </c>
      <c r="C295" s="30" t="n"/>
      <c r="D295" s="30" t="n"/>
      <c r="E295" s="30" t="n"/>
      <c r="F295" s="30" t="n"/>
      <c r="G295" s="30" t="n"/>
    </row>
    <row r="296" ht="22" customHeight="1">
      <c r="A296" s="37" t="inlineStr">
        <is>
          <t>בדיקה</t>
        </is>
      </c>
      <c r="B296" s="4" t="inlineStr">
        <is>
          <t>ב: נכונה. 80 × (1 − 15%) = 68, ובגרירה כל מוצר מקבל את שיעור ההנחה שלו.</t>
        </is>
      </c>
      <c r="C296" s="30" t="n"/>
      <c r="D296" s="30" t="n"/>
      <c r="E296" s="30" t="n"/>
      <c r="F296" s="30" t="n"/>
      <c r="G296" s="30" t="n"/>
    </row>
    <row r="297" ht="22" customHeight="1">
      <c r="A297" s="37" t="inlineStr">
        <is>
          <t>בדיקה</t>
        </is>
      </c>
      <c r="B297" s="4" t="inlineStr">
        <is>
          <t>ג: זו התייקרות, לא הנחה (92).</t>
        </is>
      </c>
      <c r="C297" s="30" t="n"/>
      <c r="D297" s="30" t="n"/>
      <c r="E297" s="30" t="n"/>
      <c r="F297" s="30" t="n"/>
      <c r="G297" s="30" t="n"/>
    </row>
    <row r="298" ht="22" customHeight="1">
      <c r="A298" s="37" t="inlineStr">
        <is>
          <t>בדיקה</t>
        </is>
      </c>
      <c r="B298" s="4" t="inlineStr">
        <is>
          <t>ד: נכונה רק למוצר הראשון. בגרירה, כל המוצרים יקבלו 15%, גם השעועית (0%).</t>
        </is>
      </c>
      <c r="C298" s="30" t="n"/>
      <c r="D298" s="30" t="n"/>
      <c r="E298" s="30" t="n"/>
      <c r="F298" s="30" t="n"/>
      <c r="G298" s="30" t="n"/>
    </row>
    <row r="299" ht="22" customHeight="1">
      <c r="A299" s="37" t="inlineStr">
        <is>
          <t>בדיקה</t>
        </is>
      </c>
      <c r="B299" s="4" t="inlineStr">
        <is>
          <t>ה: מחסירה 0.15 ש״ח מהמחיר. אחוזים לא מחסירים ככה.</t>
        </is>
      </c>
      <c r="C299" s="30" t="n"/>
      <c r="D299" s="30" t="n"/>
      <c r="E299" s="30" t="n"/>
      <c r="F299" s="30" t="n"/>
      <c r="G299" s="30" t="n"/>
    </row>
    <row r="300" ht="22" customHeight="1">
      <c r="A300" s="40" t="inlineStr">
        <is>
          <t>מה נבחן</t>
        </is>
      </c>
      <c r="B300" s="41" t="inlineStr">
        <is>
          <t>מחיר אחרי הנחה = מחיר × (1 − שיעור ההנחה).</t>
        </is>
      </c>
      <c r="C300" s="42" t="n"/>
      <c r="D300" s="42" t="n"/>
      <c r="E300" s="42" t="n"/>
      <c r="F300" s="42" t="n"/>
      <c r="G300" s="42" t="n"/>
    </row>
    <row r="301" ht="22" customHeight="1">
      <c r="A301" s="43" t="inlineStr">
        <is>
          <t>טיפ</t>
        </is>
      </c>
      <c r="B301" s="44" t="inlineStr">
        <is>
          <t>כשיש בטבלה עמודת שיעורים, מפנים אליה. מספר מוקלד = מלכודת הגרירה.</t>
        </is>
      </c>
      <c r="C301" s="45" t="n"/>
      <c r="D301" s="45" t="n"/>
      <c r="E301" s="45" t="n"/>
      <c r="F301" s="45" t="n"/>
      <c r="G301" s="45" t="n"/>
    </row>
    <row r="303" ht="26" customHeight="1">
      <c r="A303" s="28" t="inlineStr">
        <is>
          <t>שאלה 17 · מי צודק?</t>
        </is>
      </c>
    </row>
    <row r="304" ht="38" customHeight="1">
      <c r="A304" s="29" t="inlineStr">
        <is>
          <t>השאלה</t>
        </is>
      </c>
      <c r="B304" s="13" t="inlineStr">
        <is>
          <t>לפניכם נתוני טבלת Excel. כדי להשלים את עמודת השכר אחרי בונוס, רשם יהונתן בתא F71 את הנוסחה =D71*E. חברו מתן אמר לו: ״שטויות, הנוסחה היא =D71*5%״.</t>
        </is>
      </c>
      <c r="C304" s="30" t="n"/>
      <c r="D304" s="30" t="n"/>
      <c r="E304" s="30" t="n"/>
      <c r="F304" s="30" t="n"/>
      <c r="G304" s="30" t="n"/>
    </row>
    <row r="305">
      <c r="B305" s="46" t="inlineStr">
        <is>
          <t>B</t>
        </is>
      </c>
      <c r="C305" s="46" t="inlineStr">
        <is>
          <t>C</t>
        </is>
      </c>
      <c r="D305" s="46" t="inlineStr">
        <is>
          <t>D</t>
        </is>
      </c>
      <c r="E305" s="46" t="inlineStr">
        <is>
          <t>E</t>
        </is>
      </c>
      <c r="F305" s="46" t="inlineStr">
        <is>
          <t>F</t>
        </is>
      </c>
    </row>
    <row r="306" ht="34" customHeight="1">
      <c r="A306" s="46" t="n">
        <v>70</v>
      </c>
      <c r="B306" s="47" t="inlineStr">
        <is>
          <t>שם</t>
        </is>
      </c>
      <c r="C306" s="47" t="inlineStr">
        <is>
          <t>תפקיד</t>
        </is>
      </c>
      <c r="D306" s="47" t="inlineStr">
        <is>
          <t>שכר חודשי</t>
        </is>
      </c>
      <c r="E306" s="47" t="inlineStr">
        <is>
          <t>בונוס</t>
        </is>
      </c>
      <c r="F306" s="47" t="inlineStr">
        <is>
          <t>שכר אחרי בונוס</t>
        </is>
      </c>
    </row>
    <row r="307" ht="21" customHeight="1">
      <c r="A307" s="46" t="n">
        <v>71</v>
      </c>
      <c r="B307" s="23" t="inlineStr">
        <is>
          <t>מור</t>
        </is>
      </c>
      <c r="C307" s="23" t="inlineStr">
        <is>
          <t>מנהלת</t>
        </is>
      </c>
      <c r="D307" s="23" t="n">
        <v>10000</v>
      </c>
      <c r="E307" s="23" t="inlineStr">
        <is>
          <t>5%</t>
        </is>
      </c>
      <c r="F307" s="48" t="n"/>
    </row>
    <row r="308" ht="21" customHeight="1">
      <c r="A308" s="46" t="n">
        <v>72</v>
      </c>
      <c r="B308" s="23" t="inlineStr">
        <is>
          <t>אורי</t>
        </is>
      </c>
      <c r="C308" s="23" t="inlineStr">
        <is>
          <t>מלצר</t>
        </is>
      </c>
      <c r="D308" s="23" t="n">
        <v>6000</v>
      </c>
      <c r="E308" s="23" t="inlineStr">
        <is>
          <t>10%</t>
        </is>
      </c>
      <c r="F308" s="23" t="n"/>
    </row>
    <row r="309" ht="21" customHeight="1">
      <c r="A309" s="46" t="n">
        <v>73</v>
      </c>
      <c r="B309" s="23" t="inlineStr">
        <is>
          <t>דנה</t>
        </is>
      </c>
      <c r="C309" s="23" t="inlineStr">
        <is>
          <t>אופה</t>
        </is>
      </c>
      <c r="D309" s="23" t="n">
        <v>8000</v>
      </c>
      <c r="E309" s="23" t="inlineStr">
        <is>
          <t>8%</t>
        </is>
      </c>
      <c r="F309" s="23" t="n"/>
    </row>
    <row r="310" ht="21" customHeight="1">
      <c r="A310" s="46" t="n">
        <v>74</v>
      </c>
      <c r="B310" s="23" t="inlineStr">
        <is>
          <t>רז</t>
        </is>
      </c>
      <c r="C310" s="23" t="inlineStr">
        <is>
          <t>קופאי</t>
        </is>
      </c>
      <c r="D310" s="23" t="n">
        <v>5000</v>
      </c>
      <c r="E310" s="23" t="inlineStr">
        <is>
          <t>0%</t>
        </is>
      </c>
      <c r="F310" s="23" t="n"/>
    </row>
    <row r="311" ht="22" customHeight="1">
      <c r="A311" s="31" t="inlineStr">
        <is>
          <t>ההנחיה</t>
        </is>
      </c>
      <c r="B311" s="32" t="inlineStr">
        <is>
          <t>בהינתן שהמטרה היא נוסחה שאפשר לגרור כלפי מטה לכל העובדים, מי מהם, אם בכלל, צודק?</t>
        </is>
      </c>
      <c r="C311" s="30" t="n"/>
      <c r="D311" s="30" t="n"/>
      <c r="E311" s="30" t="n"/>
      <c r="F311" s="30" t="n"/>
      <c r="G311" s="30" t="n"/>
    </row>
    <row r="312" ht="22" customHeight="1">
      <c r="A312" s="31" t="inlineStr">
        <is>
          <t>א</t>
        </is>
      </c>
      <c r="B312" s="33" t="inlineStr">
        <is>
          <t>רק יהונתן</t>
        </is>
      </c>
      <c r="C312" s="30" t="n"/>
      <c r="D312" s="30" t="n"/>
      <c r="E312" s="30" t="n"/>
      <c r="F312" s="30" t="n"/>
      <c r="G312" s="30" t="n"/>
    </row>
    <row r="313" ht="22" customHeight="1">
      <c r="A313" s="31" t="inlineStr">
        <is>
          <t>ב</t>
        </is>
      </c>
      <c r="B313" s="33" t="inlineStr">
        <is>
          <t>רק מתן</t>
        </is>
      </c>
      <c r="C313" s="30" t="n"/>
      <c r="D313" s="30" t="n"/>
      <c r="E313" s="30" t="n"/>
      <c r="F313" s="30" t="n"/>
      <c r="G313" s="30" t="n"/>
    </row>
    <row r="314" ht="22" customHeight="1">
      <c r="A314" s="31" t="inlineStr">
        <is>
          <t>ג</t>
        </is>
      </c>
      <c r="B314" s="33" t="inlineStr">
        <is>
          <t>שניהם צודקים, כי שתי הנוסחאות מחזירות את אותה התוצאה</t>
        </is>
      </c>
      <c r="C314" s="30" t="n"/>
      <c r="D314" s="30" t="n"/>
      <c r="E314" s="30" t="n"/>
      <c r="F314" s="30" t="n"/>
      <c r="G314" s="30" t="n"/>
    </row>
    <row r="315" ht="22" customHeight="1">
      <c r="A315" s="34" t="inlineStr">
        <is>
          <t>ד</t>
        </is>
      </c>
      <c r="B315" s="35" t="inlineStr">
        <is>
          <t>אף אחד מהם אינו צודק; הנוסחה הנכונה היא =D71*(1+E71)   ✓ התשובה הנכונה</t>
        </is>
      </c>
      <c r="C315" s="36" t="n"/>
      <c r="D315" s="36" t="n"/>
      <c r="E315" s="36" t="n"/>
      <c r="F315" s="36" t="n"/>
      <c r="G315" s="36" t="n"/>
    </row>
    <row r="316" ht="22" customHeight="1">
      <c r="A316" s="31" t="inlineStr">
        <is>
          <t>ה</t>
        </is>
      </c>
      <c r="B316" s="33" t="inlineStr">
        <is>
          <t>אף אחד מהם אינו צודק; הנוסחה הנכונה היא =D71+E71</t>
        </is>
      </c>
      <c r="C316" s="30" t="n"/>
      <c r="D316" s="30" t="n"/>
      <c r="E316" s="30" t="n"/>
      <c r="F316" s="30" t="n"/>
      <c r="G316" s="30" t="n"/>
    </row>
    <row r="317" ht="22" customHeight="1">
      <c r="A317" s="37" t="inlineStr">
        <is>
          <t>בדיקה</t>
        </is>
      </c>
      <c r="B317" s="4" t="inlineStr">
        <is>
          <t>יהונתן: הכפל צריך להיות בין תאים. E לבדה היא לא כתובת תא.</t>
        </is>
      </c>
      <c r="C317" s="30" t="n"/>
      <c r="D317" s="30" t="n"/>
      <c r="E317" s="30" t="n"/>
      <c r="F317" s="30" t="n"/>
      <c r="G317" s="30" t="n"/>
    </row>
    <row r="318" ht="38" customHeight="1">
      <c r="A318" s="37" t="inlineStr">
        <is>
          <t>בדיקה</t>
        </is>
      </c>
      <c r="B318" s="4" t="inlineStr">
        <is>
          <t>מתן: שתי טעויות. כפל ב-5% נותן רק את הבונוס (500), לא את השכר אחרי בונוס. ובגרירה, כל העובדים יקבלו 5%.</t>
        </is>
      </c>
      <c r="C318" s="30" t="n"/>
      <c r="D318" s="30" t="n"/>
      <c r="E318" s="30" t="n"/>
      <c r="F318" s="30" t="n"/>
      <c r="G318" s="30" t="n"/>
    </row>
    <row r="319" ht="22" customHeight="1">
      <c r="A319" s="37" t="inlineStr">
        <is>
          <t>בדיקה</t>
        </is>
      </c>
      <c r="B319" s="4" t="inlineStr">
        <is>
          <t>ד: נכונה. 10,000 × (1 + 5%) = 10,500, ובגרירה כל עובד מקבל את שיעור הבונוס שלו.</t>
        </is>
      </c>
      <c r="C319" s="30" t="n"/>
      <c r="D319" s="30" t="n"/>
      <c r="E319" s="30" t="n"/>
      <c r="F319" s="30" t="n"/>
      <c r="G319" s="30" t="n"/>
    </row>
    <row r="320" ht="22" customHeight="1">
      <c r="A320" s="37" t="inlineStr">
        <is>
          <t>בדיקה</t>
        </is>
      </c>
      <c r="B320" s="4" t="inlineStr">
        <is>
          <t>ה: מוסיפה 0.05 ש״ח לשכר.</t>
        </is>
      </c>
      <c r="C320" s="30" t="n"/>
      <c r="D320" s="30" t="n"/>
      <c r="E320" s="30" t="n"/>
      <c r="F320" s="30" t="n"/>
      <c r="G320" s="30" t="n"/>
    </row>
    <row r="321" ht="22" customHeight="1">
      <c r="A321" s="40" t="inlineStr">
        <is>
          <t>מה נבחן</t>
        </is>
      </c>
      <c r="B321" s="41" t="inlineStr">
        <is>
          <t>אבחון טעויות בנוסחה של מישהו אחר.</t>
        </is>
      </c>
      <c r="C321" s="42" t="n"/>
      <c r="D321" s="42" t="n"/>
      <c r="E321" s="42" t="n"/>
      <c r="F321" s="42" t="n"/>
      <c r="G321" s="42" t="n"/>
    </row>
    <row r="322" ht="22" customHeight="1">
      <c r="A322" s="43" t="inlineStr">
        <is>
          <t>טיפ</t>
        </is>
      </c>
      <c r="B322" s="44" t="inlineStr">
        <is>
          <t>בשאלות ״מי צודק״ בודקים כל דמות בנפרד, בדיוק כמו טענות.</t>
        </is>
      </c>
      <c r="C322" s="45" t="n"/>
      <c r="D322" s="45" t="n"/>
      <c r="E322" s="45" t="n"/>
      <c r="F322" s="45" t="n"/>
      <c r="G322" s="45" t="n"/>
    </row>
    <row r="324" ht="26" customHeight="1">
      <c r="A324" s="28" t="inlineStr">
        <is>
          <t>שאלה 18 · מה התוצאה?</t>
        </is>
      </c>
    </row>
    <row r="325" ht="38" customHeight="1">
      <c r="A325" s="29" t="inlineStr">
        <is>
          <t>השאלה</t>
        </is>
      </c>
      <c r="B325" s="13" t="inlineStr">
        <is>
          <t>לפניכם נתוני טבלת Excel. בתא E81 נרשמה הנוסחה =C81*(1+D81), והיא נגררה כלפי מטה עד שורה 84.</t>
        </is>
      </c>
      <c r="C325" s="30" t="n"/>
      <c r="D325" s="30" t="n"/>
      <c r="E325" s="30" t="n"/>
      <c r="F325" s="30" t="n"/>
      <c r="G325" s="30" t="n"/>
    </row>
    <row r="326">
      <c r="B326" s="46" t="inlineStr">
        <is>
          <t>B</t>
        </is>
      </c>
      <c r="C326" s="46" t="inlineStr">
        <is>
          <t>C</t>
        </is>
      </c>
      <c r="D326" s="46" t="inlineStr">
        <is>
          <t>D</t>
        </is>
      </c>
      <c r="E326" s="46" t="inlineStr">
        <is>
          <t>E</t>
        </is>
      </c>
    </row>
    <row r="327" ht="34" customHeight="1">
      <c r="A327" s="46" t="n">
        <v>80</v>
      </c>
      <c r="B327" s="47" t="inlineStr">
        <is>
          <t>פריט</t>
        </is>
      </c>
      <c r="C327" s="47" t="inlineStr">
        <is>
          <t>מחיר לפני התייקרות</t>
        </is>
      </c>
      <c r="D327" s="47" t="inlineStr">
        <is>
          <t>שיעור ההתייקרות</t>
        </is>
      </c>
      <c r="E327" s="47" t="inlineStr">
        <is>
          <t>מחיר סופי</t>
        </is>
      </c>
    </row>
    <row r="328" ht="21" customHeight="1">
      <c r="A328" s="46" t="n">
        <v>81</v>
      </c>
      <c r="B328" s="23" t="inlineStr">
        <is>
          <t>בקבוק</t>
        </is>
      </c>
      <c r="C328" s="23" t="n">
        <v>50</v>
      </c>
      <c r="D328" s="23" t="inlineStr">
        <is>
          <t>10%</t>
        </is>
      </c>
      <c r="E328" s="48" t="n"/>
    </row>
    <row r="329" ht="21" customHeight="1">
      <c r="A329" s="46" t="n">
        <v>82</v>
      </c>
      <c r="B329" s="23" t="inlineStr">
        <is>
          <t>קרואסון</t>
        </is>
      </c>
      <c r="C329" s="23" t="n">
        <v>40</v>
      </c>
      <c r="D329" s="23" t="inlineStr">
        <is>
          <t>5%</t>
        </is>
      </c>
      <c r="E329" s="23" t="n"/>
    </row>
    <row r="330" ht="21" customHeight="1">
      <c r="A330" s="46" t="n">
        <v>83</v>
      </c>
      <c r="B330" s="23" t="inlineStr">
        <is>
          <t>אבטיח</t>
        </is>
      </c>
      <c r="C330" s="23" t="n">
        <v>200</v>
      </c>
      <c r="D330" s="23" t="inlineStr">
        <is>
          <t>15%</t>
        </is>
      </c>
      <c r="E330" s="23" t="n"/>
    </row>
    <row r="331" ht="21" customHeight="1">
      <c r="A331" s="46" t="n">
        <v>84</v>
      </c>
      <c r="B331" s="23" t="inlineStr">
        <is>
          <t>שטיח</t>
        </is>
      </c>
      <c r="C331" s="23" t="n">
        <v>500</v>
      </c>
      <c r="D331" s="23" t="inlineStr">
        <is>
          <t>0%</t>
        </is>
      </c>
      <c r="E331" s="23" t="n"/>
    </row>
    <row r="332" ht="22" customHeight="1">
      <c r="A332" s="31" t="inlineStr">
        <is>
          <t>ההנחיה</t>
        </is>
      </c>
      <c r="B332" s="32" t="inlineStr">
        <is>
          <t>איזה ערך יוצג בתא E83?</t>
        </is>
      </c>
      <c r="C332" s="30" t="n"/>
      <c r="D332" s="30" t="n"/>
      <c r="E332" s="30" t="n"/>
      <c r="F332" s="30" t="n"/>
      <c r="G332" s="30" t="n"/>
    </row>
    <row r="333" ht="22" customHeight="1">
      <c r="A333" s="31" t="inlineStr">
        <is>
          <t>א</t>
        </is>
      </c>
      <c r="B333" s="33" t="inlineStr">
        <is>
          <t>30</t>
        </is>
      </c>
      <c r="C333" s="30" t="n"/>
      <c r="D333" s="30" t="n"/>
      <c r="E333" s="30" t="n"/>
      <c r="F333" s="30" t="n"/>
      <c r="G333" s="30" t="n"/>
    </row>
    <row r="334" ht="22" customHeight="1">
      <c r="A334" s="31" t="inlineStr">
        <is>
          <t>ב</t>
        </is>
      </c>
      <c r="B334" s="33" t="inlineStr">
        <is>
          <t>220</t>
        </is>
      </c>
      <c r="C334" s="30" t="n"/>
      <c r="D334" s="30" t="n"/>
      <c r="E334" s="30" t="n"/>
      <c r="F334" s="30" t="n"/>
      <c r="G334" s="30" t="n"/>
    </row>
    <row r="335" ht="22" customHeight="1">
      <c r="A335" s="34" t="inlineStr">
        <is>
          <t>ג</t>
        </is>
      </c>
      <c r="B335" s="35" t="inlineStr">
        <is>
          <t>230   ✓ התשובה הנכונה</t>
        </is>
      </c>
      <c r="C335" s="36" t="n"/>
      <c r="D335" s="36" t="n"/>
      <c r="E335" s="36" t="n"/>
      <c r="F335" s="36" t="n"/>
      <c r="G335" s="36" t="n"/>
    </row>
    <row r="336" ht="22" customHeight="1">
      <c r="A336" s="31" t="inlineStr">
        <is>
          <t>ד</t>
        </is>
      </c>
      <c r="B336" s="33" t="inlineStr">
        <is>
          <t>200.15</t>
        </is>
      </c>
      <c r="C336" s="30" t="n"/>
      <c r="D336" s="30" t="n"/>
      <c r="E336" s="30" t="n"/>
      <c r="F336" s="30" t="n"/>
      <c r="G336" s="30" t="n"/>
    </row>
    <row r="337" ht="22" customHeight="1">
      <c r="A337" s="31" t="inlineStr">
        <is>
          <t>ה</t>
        </is>
      </c>
      <c r="B337" s="33" t="inlineStr">
        <is>
          <t>170</t>
        </is>
      </c>
      <c r="C337" s="30" t="n"/>
      <c r="D337" s="30" t="n"/>
      <c r="E337" s="30" t="n"/>
      <c r="F337" s="30" t="n"/>
      <c r="G337" s="30" t="n"/>
    </row>
    <row r="338" ht="22" customHeight="1">
      <c r="A338" s="37" t="inlineStr">
        <is>
          <t>בדיקה</t>
        </is>
      </c>
      <c r="B338" s="4" t="inlineStr">
        <is>
          <t>בשורה 83 הנוסחה הופכת ל-=C83*(1+D83) = 200 × (1 + 15%) = 230.</t>
        </is>
      </c>
      <c r="C338" s="30" t="n"/>
      <c r="D338" s="30" t="n"/>
      <c r="E338" s="30" t="n"/>
      <c r="F338" s="30" t="n"/>
      <c r="G338" s="30" t="n"/>
    </row>
    <row r="339" ht="22" customHeight="1">
      <c r="A339" s="37" t="inlineStr">
        <is>
          <t>בדיקה</t>
        </is>
      </c>
      <c r="B339" s="4" t="inlineStr">
        <is>
          <t>30 = רק סכום ההתייקרות (200 × 15%).</t>
        </is>
      </c>
      <c r="C339" s="30" t="n"/>
      <c r="D339" s="30" t="n"/>
      <c r="E339" s="30" t="n"/>
      <c r="F339" s="30" t="n"/>
      <c r="G339" s="30" t="n"/>
    </row>
    <row r="340" ht="22" customHeight="1">
      <c r="A340" s="37" t="inlineStr">
        <is>
          <t>בדיקה</t>
        </is>
      </c>
      <c r="B340" s="4" t="inlineStr">
        <is>
          <t>220 = מה שהיה יוצא אם 10% של השורה הראשונה היה מוקלד בנוסחה.</t>
        </is>
      </c>
      <c r="C340" s="30" t="n"/>
      <c r="D340" s="30" t="n"/>
      <c r="E340" s="30" t="n"/>
      <c r="F340" s="30" t="n"/>
      <c r="G340" s="30" t="n"/>
    </row>
    <row r="341" ht="22" customHeight="1">
      <c r="A341" s="37" t="inlineStr">
        <is>
          <t>בדיקה</t>
        </is>
      </c>
      <c r="B341" s="4" t="inlineStr">
        <is>
          <t>200.15 = חיבור המחיר לשיעור (=C83+D83).</t>
        </is>
      </c>
      <c r="C341" s="30" t="n"/>
      <c r="D341" s="30" t="n"/>
      <c r="E341" s="30" t="n"/>
      <c r="F341" s="30" t="n"/>
      <c r="G341" s="30" t="n"/>
    </row>
    <row r="342" ht="22" customHeight="1">
      <c r="A342" s="37" t="inlineStr">
        <is>
          <t>בדיקה</t>
        </is>
      </c>
      <c r="B342" s="4" t="inlineStr">
        <is>
          <t>170 = חישוב של הנחה במקום התייקרות.</t>
        </is>
      </c>
      <c r="C342" s="30" t="n"/>
      <c r="D342" s="30" t="n"/>
      <c r="E342" s="30" t="n"/>
      <c r="F342" s="30" t="n"/>
      <c r="G342" s="30" t="n"/>
    </row>
    <row r="343" ht="22" customHeight="1">
      <c r="A343" s="40" t="inlineStr">
        <is>
          <t>מה נבחן</t>
        </is>
      </c>
      <c r="B343" s="41" t="inlineStr">
        <is>
          <t>לעקוב אחרי נוסחה בגרירה, ולחשב בלי מחשבון.</t>
        </is>
      </c>
      <c r="C343" s="42" t="n"/>
      <c r="D343" s="42" t="n"/>
      <c r="E343" s="42" t="n"/>
      <c r="F343" s="42" t="n"/>
      <c r="G343" s="42" t="n"/>
    </row>
    <row r="344" ht="22" customHeight="1">
      <c r="A344" s="43" t="inlineStr">
        <is>
          <t>טיפ</t>
        </is>
      </c>
      <c r="B344" s="44" t="inlineStr">
        <is>
          <t>אפשר לפתור בראש: 10% של 200 = 20, ועוד חצי מזה = 30. 200 + 30 = 230.</t>
        </is>
      </c>
      <c r="C344" s="45" t="n"/>
      <c r="D344" s="45" t="n"/>
      <c r="E344" s="45" t="n"/>
      <c r="F344" s="45" t="n"/>
      <c r="G344" s="45" t="n"/>
    </row>
  </sheetData>
  <mergeCells count="279">
    <mergeCell ref="B111:G111"/>
    <mergeCell ref="B293:G293"/>
    <mergeCell ref="B145:G145"/>
    <mergeCell ref="A188:G188"/>
    <mergeCell ref="B322:G322"/>
    <mergeCell ref="B98:G98"/>
    <mergeCell ref="B181:G181"/>
    <mergeCell ref="B225:G225"/>
    <mergeCell ref="A324:G324"/>
    <mergeCell ref="B8:G8"/>
    <mergeCell ref="B73:G73"/>
    <mergeCell ref="B175:G175"/>
    <mergeCell ref="C216:G216"/>
    <mergeCell ref="B147:G147"/>
    <mergeCell ref="B162:G162"/>
    <mergeCell ref="B267:G267"/>
    <mergeCell ref="B245:G245"/>
    <mergeCell ref="C200:G200"/>
    <mergeCell ref="B10:G10"/>
    <mergeCell ref="C65:G65"/>
    <mergeCell ref="C218:G218"/>
    <mergeCell ref="B146:G146"/>
    <mergeCell ref="C274:G274"/>
    <mergeCell ref="B269:G269"/>
    <mergeCell ref="B74:G74"/>
    <mergeCell ref="B344:G344"/>
    <mergeCell ref="B123:G123"/>
    <mergeCell ref="B5:G5"/>
    <mergeCell ref="B36:G36"/>
    <mergeCell ref="B76:G76"/>
    <mergeCell ref="B189:G189"/>
    <mergeCell ref="B45:G45"/>
    <mergeCell ref="C201:G201"/>
    <mergeCell ref="B203:G203"/>
    <mergeCell ref="B207:G207"/>
    <mergeCell ref="B334:G334"/>
    <mergeCell ref="B343:G343"/>
    <mergeCell ref="B100:G100"/>
    <mergeCell ref="B271:G271"/>
    <mergeCell ref="B165:G165"/>
    <mergeCell ref="B47:G47"/>
    <mergeCell ref="B336:G336"/>
    <mergeCell ref="B232:G232"/>
    <mergeCell ref="B59:G59"/>
    <mergeCell ref="B22:G22"/>
    <mergeCell ref="B150:G150"/>
    <mergeCell ref="B193:G193"/>
    <mergeCell ref="A21:G21"/>
    <mergeCell ref="B31:G31"/>
    <mergeCell ref="B202:G202"/>
    <mergeCell ref="B102:G102"/>
    <mergeCell ref="B215:G215"/>
    <mergeCell ref="B273:G273"/>
    <mergeCell ref="B295:G295"/>
    <mergeCell ref="B320:G320"/>
    <mergeCell ref="B12:G12"/>
    <mergeCell ref="B248:G248"/>
    <mergeCell ref="B39:G39"/>
    <mergeCell ref="B297:G297"/>
    <mergeCell ref="B244:G244"/>
    <mergeCell ref="C34:G34"/>
    <mergeCell ref="B101:G101"/>
    <mergeCell ref="B14:G14"/>
    <mergeCell ref="B229:G229"/>
    <mergeCell ref="B272:G272"/>
    <mergeCell ref="B312:G312"/>
    <mergeCell ref="B23:G23"/>
    <mergeCell ref="C151:G151"/>
    <mergeCell ref="B299:G299"/>
    <mergeCell ref="A52:G52"/>
    <mergeCell ref="B13:G13"/>
    <mergeCell ref="B182:G182"/>
    <mergeCell ref="B78:G78"/>
    <mergeCell ref="B191:G191"/>
    <mergeCell ref="B249:G249"/>
    <mergeCell ref="B243:G243"/>
    <mergeCell ref="B87:G87"/>
    <mergeCell ref="B314:G314"/>
    <mergeCell ref="B178:G178"/>
    <mergeCell ref="B246:G246"/>
    <mergeCell ref="B128:G128"/>
    <mergeCell ref="B298:G298"/>
    <mergeCell ref="B211:G211"/>
    <mergeCell ref="C152:G152"/>
    <mergeCell ref="B226:G226"/>
    <mergeCell ref="B49:G49"/>
    <mergeCell ref="A157:G157"/>
    <mergeCell ref="A222:G222"/>
    <mergeCell ref="B183:G183"/>
    <mergeCell ref="B300:G300"/>
    <mergeCell ref="B177:G177"/>
    <mergeCell ref="B192:G192"/>
    <mergeCell ref="C80:G80"/>
    <mergeCell ref="B164:G164"/>
    <mergeCell ref="B335:G335"/>
    <mergeCell ref="B340:G340"/>
    <mergeCell ref="A1:G1"/>
    <mergeCell ref="A69:G69"/>
    <mergeCell ref="B41:G41"/>
    <mergeCell ref="B154:G154"/>
    <mergeCell ref="C169:G169"/>
    <mergeCell ref="B35:G35"/>
    <mergeCell ref="B50:G50"/>
    <mergeCell ref="B161:G161"/>
    <mergeCell ref="B163:G163"/>
    <mergeCell ref="B197:G197"/>
    <mergeCell ref="A205:G205"/>
    <mergeCell ref="B206:G206"/>
    <mergeCell ref="B237:G237"/>
    <mergeCell ref="A256:G256"/>
    <mergeCell ref="B277:G277"/>
    <mergeCell ref="B325:G325"/>
    <mergeCell ref="B209:G209"/>
    <mergeCell ref="B25:G25"/>
    <mergeCell ref="A133:G133"/>
    <mergeCell ref="C153:G153"/>
    <mergeCell ref="C106:G106"/>
    <mergeCell ref="C233:G233"/>
    <mergeCell ref="B301:G301"/>
    <mergeCell ref="C32:G32"/>
    <mergeCell ref="B66:G66"/>
    <mergeCell ref="C81:G81"/>
    <mergeCell ref="B131:G131"/>
    <mergeCell ref="B27:G27"/>
    <mergeCell ref="B155:G155"/>
    <mergeCell ref="C217:G217"/>
    <mergeCell ref="A239:G239"/>
    <mergeCell ref="B149:G149"/>
    <mergeCell ref="C170:G170"/>
    <mergeCell ref="B180:G180"/>
    <mergeCell ref="B220:G220"/>
    <mergeCell ref="B247:G247"/>
    <mergeCell ref="B311:G311"/>
    <mergeCell ref="B130:G130"/>
    <mergeCell ref="B195:G195"/>
    <mergeCell ref="B77:G77"/>
    <mergeCell ref="B11:G11"/>
    <mergeCell ref="B253:G253"/>
    <mergeCell ref="A303:G303"/>
    <mergeCell ref="B231:G231"/>
    <mergeCell ref="B240:G240"/>
    <mergeCell ref="B67:G67"/>
    <mergeCell ref="B179:G179"/>
    <mergeCell ref="B61:G61"/>
    <mergeCell ref="C33:G33"/>
    <mergeCell ref="A4:G4"/>
    <mergeCell ref="C104:G104"/>
    <mergeCell ref="C275:G275"/>
    <mergeCell ref="A38:G38"/>
    <mergeCell ref="B166:G166"/>
    <mergeCell ref="A280:G280"/>
    <mergeCell ref="B119:G119"/>
    <mergeCell ref="B290:G290"/>
    <mergeCell ref="B337:G337"/>
    <mergeCell ref="B29:G29"/>
    <mergeCell ref="C250:G250"/>
    <mergeCell ref="B103:G103"/>
    <mergeCell ref="B196:G196"/>
    <mergeCell ref="B230:G230"/>
    <mergeCell ref="B339:G339"/>
    <mergeCell ref="B84:G84"/>
    <mergeCell ref="C16:G16"/>
    <mergeCell ref="B127:G127"/>
    <mergeCell ref="B40:G40"/>
    <mergeCell ref="B158:G158"/>
    <mergeCell ref="C168:G168"/>
    <mergeCell ref="B338:G338"/>
    <mergeCell ref="B281:G281"/>
    <mergeCell ref="B316:G316"/>
    <mergeCell ref="B212:G212"/>
    <mergeCell ref="B55:G55"/>
    <mergeCell ref="B142:G142"/>
    <mergeCell ref="B24:G24"/>
    <mergeCell ref="B313:G313"/>
    <mergeCell ref="B95:G95"/>
    <mergeCell ref="B266:G266"/>
    <mergeCell ref="A110:G110"/>
    <mergeCell ref="B160:G160"/>
    <mergeCell ref="B79:G79"/>
    <mergeCell ref="B332:G332"/>
    <mergeCell ref="B144:G144"/>
    <mergeCell ref="B26:G26"/>
    <mergeCell ref="B315:G315"/>
    <mergeCell ref="B97:G97"/>
    <mergeCell ref="B242:G242"/>
    <mergeCell ref="B268:G268"/>
    <mergeCell ref="A174:G174"/>
    <mergeCell ref="B224:G224"/>
    <mergeCell ref="B7:G7"/>
    <mergeCell ref="B72:G72"/>
    <mergeCell ref="B129:G129"/>
    <mergeCell ref="B134:G134"/>
    <mergeCell ref="B185:G185"/>
    <mergeCell ref="B194:G194"/>
    <mergeCell ref="B208:G208"/>
    <mergeCell ref="B121:G121"/>
    <mergeCell ref="B292:G292"/>
    <mergeCell ref="B122:G122"/>
    <mergeCell ref="B71:G71"/>
    <mergeCell ref="B184:G184"/>
    <mergeCell ref="C199:G199"/>
    <mergeCell ref="B236:G236"/>
    <mergeCell ref="A2:G2"/>
    <mergeCell ref="B43:G43"/>
    <mergeCell ref="B18:G18"/>
    <mergeCell ref="B58:G58"/>
    <mergeCell ref="A86:G86"/>
    <mergeCell ref="B214:G214"/>
    <mergeCell ref="B210:G210"/>
    <mergeCell ref="B223:G223"/>
    <mergeCell ref="B294:G294"/>
    <mergeCell ref="B341:G341"/>
    <mergeCell ref="B120:G120"/>
    <mergeCell ref="B219:G219"/>
    <mergeCell ref="B42:G42"/>
    <mergeCell ref="B107:G107"/>
    <mergeCell ref="C235:G235"/>
    <mergeCell ref="B278:G278"/>
    <mergeCell ref="B60:G60"/>
    <mergeCell ref="B318:G318"/>
    <mergeCell ref="C15:G15"/>
    <mergeCell ref="B57:G57"/>
    <mergeCell ref="B148:G148"/>
    <mergeCell ref="C234:G234"/>
    <mergeCell ref="B171:G171"/>
    <mergeCell ref="B44:G44"/>
    <mergeCell ref="B53:G53"/>
    <mergeCell ref="B333:G333"/>
    <mergeCell ref="B342:G342"/>
    <mergeCell ref="C64:G64"/>
    <mergeCell ref="B289:G289"/>
    <mergeCell ref="B19:G19"/>
    <mergeCell ref="B172:G172"/>
    <mergeCell ref="B317:G317"/>
    <mergeCell ref="B28:G28"/>
    <mergeCell ref="B99:G99"/>
    <mergeCell ref="B270:G270"/>
    <mergeCell ref="B304:G304"/>
    <mergeCell ref="B108:G108"/>
    <mergeCell ref="B186:G186"/>
    <mergeCell ref="B257:G257"/>
    <mergeCell ref="B9:G9"/>
    <mergeCell ref="C63:G63"/>
    <mergeCell ref="B83:G83"/>
    <mergeCell ref="B254:G254"/>
    <mergeCell ref="B143:G143"/>
    <mergeCell ref="B319:G319"/>
    <mergeCell ref="B30:G30"/>
    <mergeCell ref="B241:G241"/>
    <mergeCell ref="B124:G124"/>
    <mergeCell ref="B6:G6"/>
    <mergeCell ref="C252:G252"/>
    <mergeCell ref="C105:G105"/>
    <mergeCell ref="C276:G276"/>
    <mergeCell ref="B198:G198"/>
    <mergeCell ref="B213:G213"/>
    <mergeCell ref="B265:G265"/>
    <mergeCell ref="B296:G296"/>
    <mergeCell ref="C251:G251"/>
    <mergeCell ref="B126:G126"/>
    <mergeCell ref="B75:G75"/>
    <mergeCell ref="B62:G62"/>
    <mergeCell ref="B227:G227"/>
    <mergeCell ref="C17:G17"/>
    <mergeCell ref="B54:G54"/>
    <mergeCell ref="B321:G321"/>
    <mergeCell ref="C82:G82"/>
    <mergeCell ref="B125:G125"/>
    <mergeCell ref="B190:G190"/>
    <mergeCell ref="B46:G46"/>
    <mergeCell ref="B159:G159"/>
    <mergeCell ref="B291:G291"/>
    <mergeCell ref="B56:G56"/>
    <mergeCell ref="B96:G96"/>
    <mergeCell ref="B167:G167"/>
    <mergeCell ref="B70:G70"/>
    <mergeCell ref="B48:G48"/>
    <mergeCell ref="B176:G176"/>
    <mergeCell ref="B228:G228"/>
  </mergeCell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2026-10-25T17:00:54Z</dcterms:created>
  <dcterms:modified xmlns:dcterms="http://purl.org/dc/terms/" xmlns:xsi="http://www.w3.org/2001/XMLSchema-instance" xsi:type="dcterms:W3CDTF">2026-10-25T17:00:54Z</dcterms:modified>
</cp:coreProperties>
</file>